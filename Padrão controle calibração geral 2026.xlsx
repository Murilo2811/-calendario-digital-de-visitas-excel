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bb.sharepoint.com/sites/BRPAPIGestaoInterna/Field Service/2-L&amp;W/1- PADRÃO/"/>
    </mc:Choice>
  </mc:AlternateContent>
  <xr:revisionPtr revIDLastSave="1420" documentId="8_{770723C6-9252-4517-BD6F-D7FD8B2A03FE}" xr6:coauthVersionLast="47" xr6:coauthVersionMax="47" xr10:uidLastSave="{46BED204-7DF1-4186-B0D9-CD7787939BE0}"/>
  <bookViews>
    <workbookView xWindow="-110" yWindow="-110" windowWidth="19420" windowHeight="11500" tabRatio="601" xr2:uid="{00000000-000D-0000-FFFF-FFFF00000000}"/>
  </bookViews>
  <sheets>
    <sheet name="Controle de padrões geral" sheetId="1" r:id="rId1"/>
    <sheet name="Faixas de calibração" sheetId="3" r:id="rId2"/>
    <sheet name="Planilha1" sheetId="2" r:id="rId3"/>
  </sheets>
  <definedNames>
    <definedName name="_xlnm._FilterDatabase" localSheetId="0" hidden="1">'Controle de padrões geral'!$A$4:$O$221</definedName>
    <definedName name="_xlnm._FilterDatabase" localSheetId="1" hidden="1">'Faixas de calibração'!$A$1:$B$29</definedName>
    <definedName name="_xlnm.Print_Area" localSheetId="0">'Controle de padrões geral'!$A$2:$O$221</definedName>
    <definedName name="Z_51C17D9A_DEF3_414C_A3A2_F0446E3FEC73_.wvu.FilterData" localSheetId="0" hidden="1">'Controle de padrões geral'!$A$4:$O$222</definedName>
    <definedName name="Z_51C17D9A_DEF3_414C_A3A2_F0446E3FEC73_.wvu.PrintArea" localSheetId="0" hidden="1">'Controle de padrões geral'!$A$1:$O$216</definedName>
    <definedName name="Z_8EA26BD9_9B48_4DE2_9240_E3F5C7F2BA73_.wvu.FilterData" localSheetId="0" hidden="1">'Controle de padrões geral'!$A$4:$O$222</definedName>
    <definedName name="Z_8EA26BD9_9B48_4DE2_9240_E3F5C7F2BA73_.wvu.PrintArea" localSheetId="0" hidden="1">'Controle de padrões geral'!$A$1:$O$216</definedName>
    <definedName name="Z_E8FE5231_F5AC_4125_B511_1B97A6426B66_.wvu.FilterData" localSheetId="0" hidden="1">'Controle de padrões geral'!$A$4:$O$222</definedName>
    <definedName name="Z_E8FE5231_F5AC_4125_B511_1B97A6426B66_.wvu.PrintArea" localSheetId="0" hidden="1">'Controle de padrões geral'!$A$1:$O$216</definedName>
  </definedNames>
  <calcPr calcId="191028"/>
  <customWorkbookViews>
    <customWorkbookView name="Administrator - Personal View" guid="{8EA26BD9-9B48-4DE2-9240-E3F5C7F2BA73}" mergeInterval="0" personalView="1" maximized="1" xWindow="-4" yWindow="-4" windowWidth="1374" windowHeight="746" tabRatio="601" activeSheetId="1" showComments="commIndAndComment"/>
    <customWorkbookView name="Ermelino Silva - Personal View" guid="{51C17D9A-DEF3-414C-A3A2-F0446E3FEC73}" mergeInterval="0" personalView="1" maximized="1" xWindow="-8" yWindow="-8" windowWidth="1382" windowHeight="754" tabRatio="601" activeSheetId="1"/>
    <customWorkbookView name="Leandro Fernandes - Personal View" guid="{E8FE5231-F5AC-4125-B511-1B97A6426B66}" mergeInterval="0" personalView="1" maximized="1" xWindow="-8" yWindow="-8" windowWidth="1382" windowHeight="744" tabRatio="601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7" i="1" l="1"/>
  <c r="N137" i="1" s="1"/>
  <c r="M202" i="1"/>
  <c r="N202" i="1" s="1"/>
  <c r="M153" i="1"/>
  <c r="N153" i="1" s="1"/>
  <c r="M152" i="1"/>
  <c r="N152" i="1" s="1"/>
  <c r="M135" i="1"/>
  <c r="N135" i="1" s="1"/>
  <c r="M205" i="1"/>
  <c r="N205" i="1" s="1"/>
  <c r="M157" i="1"/>
  <c r="N157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68" i="1"/>
  <c r="N68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79" i="1"/>
  <c r="N79" i="1" s="1"/>
  <c r="M127" i="1"/>
  <c r="N127" i="1" s="1"/>
  <c r="M128" i="1"/>
  <c r="N128" i="1" s="1"/>
  <c r="M132" i="1"/>
  <c r="N132" i="1" s="1"/>
  <c r="M133" i="1"/>
  <c r="N133" i="1" s="1"/>
  <c r="M129" i="1"/>
  <c r="N129" i="1" s="1"/>
  <c r="M130" i="1"/>
  <c r="N130" i="1" s="1"/>
  <c r="M15" i="2"/>
  <c r="N15" i="2" s="1"/>
  <c r="M110" i="1"/>
  <c r="N110" i="1" s="1"/>
  <c r="M111" i="1"/>
  <c r="N111" i="1" s="1"/>
  <c r="M112" i="1"/>
  <c r="N112" i="1" s="1"/>
  <c r="M186" i="1"/>
  <c r="N186" i="1" s="1"/>
  <c r="M109" i="1"/>
  <c r="N109" i="1" s="1"/>
  <c r="M169" i="1"/>
  <c r="N169" i="1" s="1"/>
  <c r="M210" i="1"/>
  <c r="N210" i="1" s="1"/>
  <c r="M164" i="1"/>
  <c r="N164" i="1" s="1"/>
  <c r="M168" i="1"/>
  <c r="N168" i="1" s="1"/>
  <c r="M91" i="1"/>
  <c r="N91" i="1" s="1"/>
  <c r="M150" i="1"/>
  <c r="N150" i="1" s="1"/>
  <c r="M131" i="1"/>
  <c r="N131" i="1" s="1"/>
  <c r="M125" i="1"/>
  <c r="N125" i="1" s="1"/>
  <c r="M126" i="1"/>
  <c r="N126" i="1" s="1"/>
  <c r="M273" i="1"/>
  <c r="N273" i="1" s="1"/>
  <c r="M121" i="1"/>
  <c r="N121" i="1" s="1"/>
  <c r="M122" i="1"/>
  <c r="N122" i="1" s="1"/>
  <c r="M123" i="1"/>
  <c r="N123" i="1" s="1"/>
  <c r="M124" i="1"/>
  <c r="N124" i="1" s="1"/>
  <c r="M138" i="1"/>
  <c r="N138" i="1" s="1"/>
  <c r="M86" i="1"/>
  <c r="N86" i="1" s="1"/>
  <c r="M80" i="1"/>
  <c r="N80" i="1" s="1"/>
  <c r="M78" i="1"/>
  <c r="N7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38" i="1"/>
  <c r="N38" i="1" s="1"/>
  <c r="M191" i="1"/>
  <c r="N191" i="1" s="1"/>
  <c r="M190" i="1"/>
  <c r="N190" i="1" s="1"/>
  <c r="M189" i="1"/>
  <c r="N189" i="1" s="1"/>
  <c r="M22" i="1"/>
  <c r="N22" i="1" s="1"/>
  <c r="M27" i="1"/>
  <c r="N27" i="1" s="1"/>
  <c r="M5" i="1"/>
  <c r="N5" i="1" s="1"/>
  <c r="M16" i="1"/>
  <c r="N16" i="1" s="1"/>
  <c r="M116" i="1"/>
  <c r="N116" i="1" s="1"/>
  <c r="M147" i="1"/>
  <c r="N147" i="1" s="1"/>
  <c r="M136" i="1"/>
  <c r="N136" i="1" s="1"/>
  <c r="M200" i="1"/>
  <c r="N200" i="1" s="1"/>
  <c r="M201" i="1"/>
  <c r="N201" i="1" s="1"/>
  <c r="M206" i="1"/>
  <c r="N206" i="1" s="1"/>
  <c r="M172" i="1"/>
  <c r="N172" i="1" s="1"/>
  <c r="M173" i="1"/>
  <c r="N173" i="1" s="1"/>
  <c r="M177" i="1"/>
  <c r="N177" i="1" s="1"/>
  <c r="M178" i="1"/>
  <c r="N178" i="1" s="1"/>
  <c r="M179" i="1"/>
  <c r="N179" i="1" s="1"/>
  <c r="M180" i="1"/>
  <c r="N180" i="1" s="1"/>
  <c r="M269" i="1"/>
  <c r="N269" i="1" s="1"/>
  <c r="M108" i="1"/>
  <c r="N108" i="1" s="1"/>
  <c r="M134" i="1"/>
  <c r="N134" i="1" s="1"/>
  <c r="M209" i="1"/>
  <c r="N209" i="1" s="1"/>
  <c r="M94" i="1"/>
  <c r="N94" i="1" s="1"/>
  <c r="M96" i="1"/>
  <c r="N96" i="1" s="1"/>
  <c r="M268" i="1"/>
  <c r="N268" i="1" s="1"/>
  <c r="M148" i="1"/>
  <c r="N148" i="1" s="1"/>
  <c r="M15" i="1"/>
  <c r="N15" i="1" s="1"/>
  <c r="M12" i="1"/>
  <c r="N12" i="1" s="1"/>
  <c r="M8" i="1"/>
  <c r="N8" i="1" s="1"/>
  <c r="M48" i="1"/>
  <c r="N48" i="1" s="1"/>
  <c r="M18" i="1"/>
  <c r="N18" i="1" s="1"/>
  <c r="M183" i="1"/>
  <c r="N183" i="1" s="1"/>
  <c r="M184" i="1"/>
  <c r="N184" i="1" s="1"/>
  <c r="M182" i="1"/>
  <c r="N182" i="1" s="1"/>
  <c r="M188" i="1"/>
  <c r="N188" i="1" s="1"/>
  <c r="M171" i="1"/>
  <c r="N171" i="1" s="1"/>
  <c r="M175" i="1"/>
  <c r="N175" i="1" s="1"/>
  <c r="M207" i="1"/>
  <c r="N207" i="1" s="1"/>
  <c r="M155" i="1"/>
  <c r="N155" i="1" s="1"/>
  <c r="M139" i="1"/>
  <c r="N139" i="1" s="1"/>
  <c r="M144" i="1"/>
  <c r="N144" i="1" s="1"/>
  <c r="M104" i="1"/>
  <c r="N104" i="1" s="1"/>
  <c r="M192" i="1"/>
  <c r="N192" i="1" s="1"/>
  <c r="M194" i="1"/>
  <c r="N194" i="1" s="1"/>
  <c r="M193" i="1"/>
  <c r="N193" i="1" s="1"/>
  <c r="M90" i="1"/>
  <c r="N90" i="1" s="1"/>
  <c r="M25" i="1"/>
  <c r="N25" i="1" s="1"/>
  <c r="M24" i="1"/>
  <c r="N24" i="1" s="1"/>
  <c r="M20" i="1"/>
  <c r="N20" i="1" s="1"/>
  <c r="M19" i="1"/>
  <c r="N19" i="1" s="1"/>
  <c r="M17" i="1"/>
  <c r="N17" i="1" s="1"/>
  <c r="M13" i="1"/>
  <c r="N13" i="1" s="1"/>
  <c r="M11" i="1"/>
  <c r="N11" i="1" s="1"/>
  <c r="M6" i="1"/>
  <c r="N6" i="1" s="1"/>
  <c r="M151" i="1"/>
  <c r="N151" i="1" s="1"/>
  <c r="M198" i="1"/>
  <c r="N198" i="1" s="1"/>
  <c r="M199" i="1"/>
  <c r="N199" i="1" s="1"/>
  <c r="M115" i="1"/>
  <c r="N115" i="1" s="1"/>
  <c r="M117" i="1"/>
  <c r="N117" i="1" s="1"/>
  <c r="M93" i="1"/>
  <c r="N93" i="1" s="1"/>
  <c r="M140" i="1"/>
  <c r="N140" i="1" s="1"/>
  <c r="M141" i="1"/>
  <c r="N141" i="1" s="1"/>
  <c r="M149" i="1"/>
  <c r="N149" i="1" s="1"/>
  <c r="M276" i="1"/>
  <c r="N276" i="1" s="1"/>
  <c r="M274" i="1"/>
  <c r="N274" i="1" s="1"/>
  <c r="M88" i="1"/>
  <c r="N88" i="1" s="1"/>
  <c r="M87" i="1"/>
  <c r="N87" i="1" s="1"/>
  <c r="M83" i="1"/>
  <c r="N83" i="1" s="1"/>
  <c r="M82" i="1"/>
  <c r="N82" i="1" s="1"/>
  <c r="M81" i="1"/>
  <c r="N81" i="1" s="1"/>
  <c r="M156" i="1"/>
  <c r="N156" i="1" s="1"/>
  <c r="M146" i="1"/>
  <c r="N146" i="1" s="1"/>
  <c r="M170" i="1"/>
  <c r="N170" i="1" s="1"/>
  <c r="M158" i="1"/>
  <c r="N158" i="1" s="1"/>
  <c r="M107" i="1"/>
  <c r="N107" i="1" s="1"/>
  <c r="M85" i="1"/>
  <c r="N85" i="1" s="1"/>
  <c r="M196" i="1"/>
  <c r="N196" i="1" s="1"/>
  <c r="M143" i="1"/>
  <c r="N143" i="1" s="1"/>
  <c r="M142" i="1"/>
  <c r="N142" i="1" s="1"/>
  <c r="M185" i="1"/>
  <c r="N185" i="1" s="1"/>
  <c r="M163" i="1"/>
  <c r="N163" i="1" s="1"/>
  <c r="M277" i="1"/>
  <c r="N277" i="1" s="1"/>
  <c r="M271" i="1"/>
  <c r="N271" i="1" s="1"/>
  <c r="M278" i="1"/>
  <c r="N278" i="1" s="1"/>
  <c r="M279" i="1"/>
  <c r="N279" i="1" s="1"/>
  <c r="M28" i="1"/>
  <c r="N28" i="1" s="1"/>
  <c r="M208" i="1"/>
  <c r="N208" i="1" s="1"/>
  <c r="M166" i="1"/>
  <c r="N166" i="1" s="1"/>
  <c r="M26" i="1"/>
  <c r="N26" i="1" s="1"/>
  <c r="M21" i="1"/>
  <c r="N21" i="1" s="1"/>
  <c r="M23" i="1"/>
  <c r="N23" i="1" s="1"/>
  <c r="M14" i="1"/>
  <c r="N14" i="1" s="1"/>
  <c r="M9" i="1"/>
  <c r="N9" i="1" s="1"/>
  <c r="M181" i="1"/>
  <c r="N181" i="1" s="1"/>
  <c r="M145" i="1"/>
  <c r="N145" i="1" s="1"/>
  <c r="M89" i="1"/>
  <c r="N89" i="1" s="1"/>
  <c r="M167" i="1"/>
  <c r="N167" i="1" s="1"/>
  <c r="M211" i="1"/>
  <c r="N211" i="1" s="1"/>
  <c r="M98" i="1"/>
  <c r="N98" i="1" s="1"/>
  <c r="M7" i="1"/>
  <c r="N7" i="1" s="1"/>
  <c r="M10" i="1"/>
  <c r="N10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84" i="1"/>
  <c r="N84" i="1" s="1"/>
  <c r="M92" i="1"/>
  <c r="N92" i="1" s="1"/>
  <c r="M272" i="1"/>
  <c r="N272" i="1" s="1"/>
  <c r="M226" i="1"/>
  <c r="N226" i="1" s="1"/>
  <c r="M95" i="1"/>
  <c r="N95" i="1" s="1"/>
  <c r="M97" i="1"/>
  <c r="N97" i="1" s="1"/>
  <c r="M99" i="1"/>
  <c r="N99" i="1" s="1"/>
  <c r="M100" i="1"/>
  <c r="N100" i="1" s="1"/>
  <c r="M101" i="1"/>
  <c r="N101" i="1" s="1"/>
  <c r="M227" i="1"/>
  <c r="N227" i="1"/>
  <c r="M102" i="1"/>
  <c r="N102" i="1" s="1"/>
  <c r="M229" i="1"/>
  <c r="N229" i="1" s="1"/>
  <c r="M103" i="1"/>
  <c r="N103" i="1" s="1"/>
  <c r="M105" i="1"/>
  <c r="N105" i="1" s="1"/>
  <c r="M106" i="1"/>
  <c r="N106" i="1" s="1"/>
  <c r="M228" i="1"/>
  <c r="N228" i="1" s="1"/>
  <c r="M113" i="1"/>
  <c r="N113" i="1" s="1"/>
  <c r="M114" i="1"/>
  <c r="N114" i="1" s="1"/>
  <c r="M118" i="1"/>
  <c r="N118" i="1" s="1"/>
  <c r="M224" i="1"/>
  <c r="N224" i="1" s="1"/>
  <c r="M225" i="1"/>
  <c r="N225" i="1" s="1"/>
  <c r="M119" i="1"/>
  <c r="N119" i="1" s="1"/>
  <c r="M275" i="1"/>
  <c r="N275" i="1" s="1"/>
  <c r="M120" i="1"/>
  <c r="N120" i="1" s="1"/>
  <c r="M280" i="1"/>
  <c r="N280" i="1" s="1"/>
  <c r="M154" i="1"/>
  <c r="N154" i="1" s="1"/>
  <c r="M159" i="1"/>
  <c r="N159" i="1" s="1"/>
  <c r="M160" i="1"/>
  <c r="N160" i="1" s="1"/>
  <c r="M162" i="1"/>
  <c r="N162" i="1" s="1"/>
  <c r="M161" i="1"/>
  <c r="N161" i="1" s="1"/>
  <c r="M165" i="1"/>
  <c r="N165" i="1" s="1"/>
  <c r="M174" i="1"/>
  <c r="N174" i="1" s="1"/>
  <c r="M176" i="1"/>
  <c r="N176" i="1" s="1"/>
  <c r="M187" i="1"/>
  <c r="N187" i="1" s="1"/>
  <c r="M195" i="1"/>
  <c r="N195" i="1" s="1"/>
  <c r="M197" i="1"/>
  <c r="N197" i="1" s="1"/>
  <c r="M270" i="1"/>
  <c r="N270" i="1" s="1"/>
  <c r="M203" i="1"/>
  <c r="N203" i="1" s="1"/>
  <c r="M204" i="1"/>
  <c r="N204" i="1" s="1"/>
  <c r="N255" i="1"/>
  <c r="M256" i="1"/>
  <c r="N256" i="1" s="1"/>
  <c r="M257" i="1"/>
  <c r="N257" i="1" s="1"/>
  <c r="M258" i="1"/>
  <c r="N258" i="1" s="1"/>
  <c r="M259" i="1"/>
  <c r="N259" i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Claudio Daniel Gnani</author>
    <author>Elof Hansson Ltda</author>
    <author>Ermelino</author>
    <author>usuario</author>
    <author>Usuário</author>
  </authors>
  <commentList>
    <comment ref="O3" authorId="0" shapeId="0" xr:uid="{00000000-0006-0000-0000-000001000000}">
      <text>
        <r>
          <rPr>
            <sz val="9"/>
            <color indexed="81"/>
            <rFont val="Tahoma"/>
            <family val="2"/>
          </rPr>
          <t>SEMPRE QUE UM PADRÃO FOR ATUALIZADO OU ALTERAÇÃO NA PLANILHA.</t>
        </r>
      </text>
    </comment>
    <comment ref="J2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ESTE PADRÃO NORMALMENTE NÃO ERA CALIBRADO(SOMENTE A PLACA), MAS EM 2009 A L&amp;W ENCONTROU UM ÓRGÃO QUE CALIBRA .</t>
        </r>
      </text>
    </comment>
    <comment ref="G104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Ermelino:</t>
        </r>
        <r>
          <rPr>
            <sz val="9"/>
            <color indexed="81"/>
            <rFont val="Tahoma"/>
            <family val="2"/>
          </rPr>
          <t xml:space="preserve">
Utilizado na tração somente no ZD.</t>
        </r>
      </text>
    </comment>
    <comment ref="C147" authorId="3" shapeId="0" xr:uid="{00000000-0006-0000-0000-000005000000}">
      <text>
        <r>
          <rPr>
            <b/>
            <sz val="9"/>
            <color indexed="81"/>
            <rFont val="Tahoma"/>
            <family val="2"/>
          </rPr>
          <t>Será calibrado 1 ano após o Multímetro 856.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1" authorId="3" shapeId="0" xr:uid="{00000000-0006-0000-0000-000007000000}">
      <text>
        <r>
          <rPr>
            <sz val="9"/>
            <color indexed="81"/>
            <rFont val="Tahoma"/>
            <family val="2"/>
          </rPr>
          <t>A ID deste padrão passará a ser nº: 856  s/n 51400243
ANTIGO: E100</t>
        </r>
      </text>
    </comment>
    <comment ref="K202" authorId="2" shapeId="0" xr:uid="{4B17D6FC-AE7F-4199-A07A-88822F73D61F}">
      <text>
        <r>
          <rPr>
            <b/>
            <sz val="9"/>
            <color indexed="81"/>
            <rFont val="Tahoma"/>
            <family val="2"/>
          </rPr>
          <t>Ermelino:</t>
        </r>
        <r>
          <rPr>
            <sz val="9"/>
            <color indexed="81"/>
            <rFont val="Tahoma"/>
            <family val="2"/>
          </rPr>
          <t xml:space="preserve">
Mudar para 24 meses quando fizer calibração RBC</t>
        </r>
      </text>
    </comment>
    <comment ref="K203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Ermelino:
Mudar para 24 meses depois que fizer calibração RBC
</t>
        </r>
      </text>
    </comment>
    <comment ref="K204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Ermelino:</t>
        </r>
        <r>
          <rPr>
            <sz val="9"/>
            <color indexed="81"/>
            <rFont val="Tahoma"/>
            <family val="2"/>
          </rPr>
          <t xml:space="preserve">
Mudar para 24 meses depois que fizer calibração RBC</t>
        </r>
      </text>
    </comment>
    <comment ref="G207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Ermelino:</t>
        </r>
        <r>
          <rPr>
            <sz val="9"/>
            <color indexed="81"/>
            <rFont val="Tahoma"/>
            <family val="2"/>
          </rPr>
          <t xml:space="preserve">
0 - 50 – 100 – 250  – 500  – 750 – 1000 – 1500 e 2000 e 3000 kPa
</t>
        </r>
      </text>
    </comment>
    <comment ref="G208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Ermelino:</t>
        </r>
        <r>
          <rPr>
            <sz val="9"/>
            <color indexed="81"/>
            <rFont val="Tahoma"/>
            <family val="2"/>
          </rPr>
          <t xml:space="preserve">
0 - 50 – 100 – 250  – 500  – 750 – 1000 – 1500 e 2000 e 3000 kPa
</t>
        </r>
      </text>
    </comment>
    <comment ref="G211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Ermelino:</t>
        </r>
        <r>
          <rPr>
            <sz val="9"/>
            <color indexed="81"/>
            <rFont val="Tahoma"/>
            <family val="2"/>
          </rPr>
          <t xml:space="preserve">
0 - 50 – 100 – 250  – 500  – 750 – 1000 – 1500 e 2000 e 3000 kPa
</t>
        </r>
      </text>
    </comment>
    <comment ref="C248" authorId="4" shapeId="0" xr:uid="{00000000-0006-0000-0000-000011000000}">
      <text>
        <r>
          <rPr>
            <b/>
            <sz val="9"/>
            <color indexed="81"/>
            <rFont val="Tahoma"/>
            <family val="2"/>
          </rPr>
          <t>Antigo 538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1" authorId="3" shapeId="0" xr:uid="{00000000-0006-0000-0000-000012000000}">
      <text>
        <r>
          <rPr>
            <sz val="9"/>
            <color indexed="81"/>
            <rFont val="Tahoma"/>
            <family val="2"/>
          </rPr>
          <t>Este filme não está sendo usado, por isso não está sendo calibrado.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64" authorId="3" shapeId="0" xr:uid="{00000000-0006-0000-0000-000013000000}">
      <text>
        <r>
          <rPr>
            <b/>
            <sz val="9"/>
            <color indexed="81"/>
            <rFont val="Tahoma"/>
            <family val="2"/>
          </rPr>
          <t>CALIBRADO NA L&amp;W EM 2006.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7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Ermelino:</t>
        </r>
        <r>
          <rPr>
            <sz val="9"/>
            <color indexed="81"/>
            <rFont val="Tahoma"/>
            <family val="2"/>
          </rPr>
          <t xml:space="preserve">
Mudar para 24 meses quando fizer calibração RBC</t>
        </r>
      </text>
    </comment>
    <comment ref="K278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Ermelino:
Mudar para 24 meses depois que fizer calibração RBC
</t>
        </r>
      </text>
    </comment>
    <comment ref="K279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Ermelino:</t>
        </r>
        <r>
          <rPr>
            <sz val="9"/>
            <color indexed="81"/>
            <rFont val="Tahoma"/>
            <family val="2"/>
          </rPr>
          <t xml:space="preserve">
Mudar para 24 meses depois que fizer calibração RBC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 Fernandes</author>
    <author>Ermelino</author>
  </authors>
  <commentList>
    <comment ref="B22" authorId="0" shapeId="0" xr:uid="{E1D9E9C1-43A7-4279-A8E7-E5A690763F1C}">
      <text>
        <r>
          <rPr>
            <b/>
            <sz val="9"/>
            <color indexed="81"/>
            <rFont val="Segoe UI"/>
            <family val="2"/>
          </rPr>
          <t>Leandro Fernandes:</t>
        </r>
        <r>
          <rPr>
            <sz val="9"/>
            <color indexed="81"/>
            <rFont val="Segoe UI"/>
            <family val="2"/>
          </rPr>
          <t xml:space="preserve">
Sempre enviar Relógio com o súbto
</t>
        </r>
      </text>
    </comment>
    <comment ref="A29" authorId="1" shapeId="0" xr:uid="{1813CF8C-7B41-4FC9-B936-11F55F2B94E0}">
      <text>
        <r>
          <rPr>
            <b/>
            <sz val="9"/>
            <color indexed="81"/>
            <rFont val="Tahoma"/>
            <family val="2"/>
          </rPr>
          <t>Ermelino:</t>
        </r>
        <r>
          <rPr>
            <sz val="9"/>
            <color indexed="81"/>
            <rFont val="Tahoma"/>
            <family val="2"/>
          </rPr>
          <t xml:space="preserve">
0 - 50 – 100 – 250  – 500  – 750 – 1000 – 1500 e 2000 e 3000 kPa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" authorId="0" shapeId="0" xr:uid="{DAAD9E04-A9AD-46F9-91DF-EF0BBC988789}">
      <text>
        <r>
          <rPr>
            <sz val="9"/>
            <color indexed="81"/>
            <rFont val="Tahoma"/>
            <family val="2"/>
          </rPr>
          <t>A ID deste padrão passará a ser nº: 856  s/n 51400243
ANTIGO: E100</t>
        </r>
      </text>
    </comment>
  </commentList>
</comments>
</file>

<file path=xl/sharedStrings.xml><?xml version="1.0" encoding="utf-8"?>
<sst xmlns="http://schemas.openxmlformats.org/spreadsheetml/2006/main" count="1921" uniqueCount="389">
  <si>
    <t xml:space="preserve">    PADRÃO DE CALIBRAÇÃO L&amp;W - CONTROLE DE CALIBRAÇÃO</t>
  </si>
  <si>
    <t xml:space="preserve">         Atualizado em: </t>
  </si>
  <si>
    <t>17/08/2026 - ADAUTO</t>
  </si>
  <si>
    <t>ITEM</t>
  </si>
  <si>
    <t>CAD.SAP</t>
  </si>
  <si>
    <t>ID</t>
  </si>
  <si>
    <t>COD SPED</t>
  </si>
  <si>
    <t>NCM</t>
  </si>
  <si>
    <t>SÉRIE</t>
  </si>
  <si>
    <t>DESCRIÇÃO</t>
  </si>
  <si>
    <t>Usuario</t>
  </si>
  <si>
    <t>Locação</t>
  </si>
  <si>
    <t>ORGÃO CERT.</t>
  </si>
  <si>
    <t>Periodicidade</t>
  </si>
  <si>
    <t>DATA CAL.</t>
  </si>
  <si>
    <t>Data Venc.</t>
  </si>
  <si>
    <t xml:space="preserve"> AÇÃO</t>
  </si>
  <si>
    <t>STATUS</t>
  </si>
  <si>
    <t>30007063-7</t>
  </si>
  <si>
    <t>BICOS  - BENDTSEN   -  SE 164</t>
  </si>
  <si>
    <t>JC</t>
  </si>
  <si>
    <t>SP</t>
  </si>
  <si>
    <t>L&amp;W</t>
  </si>
  <si>
    <t>24 Meses</t>
  </si>
  <si>
    <t>No CR com Adauto ( aguardando envio Suécia )</t>
  </si>
  <si>
    <t xml:space="preserve">BICOS  - BENDTSEN   -  SE 164 </t>
  </si>
  <si>
    <t>AP</t>
  </si>
  <si>
    <t>Em sala de Ferramentas Lana</t>
  </si>
  <si>
    <t>MC</t>
  </si>
  <si>
    <t>LF</t>
  </si>
  <si>
    <t>ES</t>
  </si>
  <si>
    <t>30007461-7</t>
  </si>
  <si>
    <t>BICOS  - PERMEANCE - SE 166</t>
  </si>
  <si>
    <t>30007916-7</t>
  </si>
  <si>
    <t>BICOS  - PERMEANCE - SE 168</t>
  </si>
  <si>
    <t>C</t>
  </si>
  <si>
    <t>C.Reparo</t>
  </si>
  <si>
    <t>30002528-7</t>
  </si>
  <si>
    <t>BICOS  - GURLEY  -   SE 121 - (12-317)</t>
  </si>
  <si>
    <t>995201-16</t>
  </si>
  <si>
    <t>BICOS  - GURLEY  -   SE 121 - (12-308)</t>
  </si>
  <si>
    <t>050348</t>
  </si>
  <si>
    <t>BICOS  - GURLEY  -   SE 121</t>
  </si>
  <si>
    <t>031942</t>
  </si>
  <si>
    <t>30001514-7</t>
  </si>
  <si>
    <t>BICOS  - PPS   -  SE 115 / 165 - (12-311)</t>
  </si>
  <si>
    <t>BICOS  - PPS   -  SE 115 / 165</t>
  </si>
  <si>
    <t xml:space="preserve">No CR com Adauto </t>
  </si>
  <si>
    <t>30009372-7</t>
  </si>
  <si>
    <t>1006-178</t>
  </si>
  <si>
    <t>BRILHO L&amp;W</t>
  </si>
  <si>
    <t>1005-162</t>
  </si>
  <si>
    <t xml:space="preserve">BRILHO L&amp;W </t>
  </si>
  <si>
    <t>Com Jorge Capura</t>
  </si>
  <si>
    <t>1004-138</t>
  </si>
  <si>
    <t>BLOCOS - 10 pçs - Mitutoyo - Bloco  0,1 mm</t>
  </si>
  <si>
    <t>CERTI</t>
  </si>
  <si>
    <t>BLOCOS - 10 pçs - Mitutoyo - Bloco  0,2 mm</t>
  </si>
  <si>
    <t>BLOCOS - 10 pçs - Mitutoyo - Bloco  0,3 mm</t>
  </si>
  <si>
    <t>BLOCOS - 10 pçs - Mitutoyo - Bloco  0,5 mm</t>
  </si>
  <si>
    <t>BLOCOS - 10 pçs - Mitutoyo - Bloco  0,7 mm</t>
  </si>
  <si>
    <t>BLOCOS - 10 pçs - Mitutoyo - Bloco  1,0 mm</t>
  </si>
  <si>
    <t>BLOCOS - 10 pçs - Mitutoyo - Bloco  1,9 mm</t>
  </si>
  <si>
    <t>BLOCOS - 10 pçs - Mitutoyo - Bloco  3,0 mm</t>
  </si>
  <si>
    <t>BLOCOS - 10 pçs - Mitutoyo - Bloco  5,0 mm</t>
  </si>
  <si>
    <t>BLOCOS - 10 pçs - Mitutoyo - Bloco  10,0 mm</t>
  </si>
  <si>
    <t>IP33471</t>
  </si>
  <si>
    <t>BLOCOS - 10 pçs - Mitutoyo - Bloco  10 mm</t>
  </si>
  <si>
    <t>.050024</t>
  </si>
  <si>
    <t xml:space="preserve">BLOCOS - 10 pçs - Mitutoyo - Bloco  0,1 mm </t>
  </si>
  <si>
    <t>BR0000004145</t>
  </si>
  <si>
    <t>BR0000018763</t>
  </si>
  <si>
    <t>BR0000018764</t>
  </si>
  <si>
    <t>BR0000004136</t>
  </si>
  <si>
    <t>BR0000018765</t>
  </si>
  <si>
    <t>BR0000018770</t>
  </si>
  <si>
    <t>BR0000018766</t>
  </si>
  <si>
    <t>BR0000018767</t>
  </si>
  <si>
    <t>BR0000018768</t>
  </si>
  <si>
    <t>BR0000018769</t>
  </si>
  <si>
    <t>BR0000013832</t>
  </si>
  <si>
    <t>46610104/1022</t>
  </si>
  <si>
    <t>BAROMETRO TESTO 511</t>
  </si>
  <si>
    <t>ABSI</t>
  </si>
  <si>
    <t>12 Meses</t>
  </si>
  <si>
    <t>No CR com Adauto</t>
  </si>
  <si>
    <t>39123703/0824</t>
  </si>
  <si>
    <t>39122636/1223</t>
  </si>
  <si>
    <t>4L29074960C</t>
  </si>
  <si>
    <r>
      <t xml:space="preserve">CALIBRADOR DE DIAFRAGMA - Tipo </t>
    </r>
    <r>
      <rPr>
        <b/>
        <sz val="10"/>
        <rFont val="Times New Roman"/>
        <family val="1"/>
      </rPr>
      <t>J</t>
    </r>
  </si>
  <si>
    <t>Trescal</t>
  </si>
  <si>
    <t>36 Meses</t>
  </si>
  <si>
    <r>
      <t xml:space="preserve">CALIBRADOR DE DIAFRAGMA - Tipo </t>
    </r>
    <r>
      <rPr>
        <b/>
        <sz val="10"/>
        <rFont val="Times New Roman"/>
        <family val="1"/>
      </rPr>
      <t>P</t>
    </r>
  </si>
  <si>
    <t>P9</t>
  </si>
  <si>
    <r>
      <t>CALIBRADOR DE DIAFRAGMA - Tipo</t>
    </r>
    <r>
      <rPr>
        <b/>
        <sz val="10"/>
        <rFont val="Times New Roman"/>
        <family val="1"/>
      </rPr>
      <t xml:space="preserve"> J</t>
    </r>
  </si>
  <si>
    <t>200-520M</t>
  </si>
  <si>
    <t>CALIBRADOR DE VAZÃO-DEFENDER 520M</t>
  </si>
  <si>
    <t>IPT</t>
  </si>
  <si>
    <t>No CR com Adauto ( aguardando envio calibração )</t>
  </si>
  <si>
    <t>4L70001078A</t>
  </si>
  <si>
    <t>163-1128</t>
  </si>
  <si>
    <t>CALIBRADOR DE VAZÃO - ATEQ CDF-1000</t>
  </si>
  <si>
    <t>A00450-0147</t>
  </si>
  <si>
    <t>CALIBRADOR DE VAZÃO - ATEQ CDF 7000</t>
  </si>
  <si>
    <t>184-304S</t>
  </si>
  <si>
    <t>184-306S</t>
  </si>
  <si>
    <t>CALIBRADOR DE FOLGA  - (Micrômetro)</t>
  </si>
  <si>
    <t>4L30005380</t>
  </si>
  <si>
    <t>CÉLULA DE CARGA - 40 N -  (Micrômetro)</t>
  </si>
  <si>
    <t>30016359-7</t>
  </si>
  <si>
    <t xml:space="preserve">CÉLULA DE CARGA - 1000 N </t>
  </si>
  <si>
    <t>SENAI / CTM</t>
  </si>
  <si>
    <t>CÉLULA DE CARGA - 100 N  - (Tensile/STFI)</t>
  </si>
  <si>
    <t xml:space="preserve">ZNBW-072000-000001 </t>
  </si>
  <si>
    <t>CÉLULA DE CARGA  - 2 kN - (Crush/PPS)</t>
  </si>
  <si>
    <t>ZNBW-072000-000003</t>
  </si>
  <si>
    <t>CÉLULA DE CARGA - 5 kN - (Burst/Crush/ZD)</t>
  </si>
  <si>
    <t>enviar com dispositivo ( no CR com Adauto para verificação )</t>
  </si>
  <si>
    <t>CÉLULA DE CARGA - 1000 N - (Tensile/ZD)</t>
  </si>
  <si>
    <t>CÉLULA DE CARGA - 40 N</t>
  </si>
  <si>
    <t>CÉLULA DE CARGA- 1000 N</t>
  </si>
  <si>
    <t xml:space="preserve">CÉLULA DE CARGA - 2 kN </t>
  </si>
  <si>
    <t>CÉLULA DE CARGA -  5 kN</t>
  </si>
  <si>
    <t>CÉLULA DE CARGA - 5 kN</t>
  </si>
  <si>
    <t>CÉLULA DE CARGA - 100 N</t>
  </si>
  <si>
    <t>enviar com dispositivo</t>
  </si>
  <si>
    <t>2029CRONOMETROHW30</t>
  </si>
  <si>
    <t xml:space="preserve">CRONÔMETRO DIGITAL - OREGON </t>
  </si>
  <si>
    <t>BALITEK</t>
  </si>
  <si>
    <t>***</t>
  </si>
  <si>
    <t>CRONÔMETRO DIGITAL - TECHNOS</t>
  </si>
  <si>
    <t>Reserva</t>
  </si>
  <si>
    <t>Sorocaba-Sala Instrumentos</t>
  </si>
  <si>
    <t>Na sala do Lana</t>
  </si>
  <si>
    <r>
      <t>ZNBW-030311-000001</t>
    </r>
    <r>
      <rPr>
        <sz val="11"/>
        <color indexed="63"/>
        <rFont val="Times New Roman"/>
        <family val="1"/>
      </rPr>
      <t> </t>
    </r>
  </si>
  <si>
    <t>90.31.80.11</t>
  </si>
  <si>
    <t>8B15</t>
  </si>
  <si>
    <t>DINAMOMETRO  -  50 kN - (Prensa 040)</t>
  </si>
  <si>
    <t>MT_0167</t>
  </si>
  <si>
    <t>ESCALA DE ACO   300 mm</t>
  </si>
  <si>
    <t>29394150AA</t>
  </si>
  <si>
    <t>FILME DO TSO  AUTOLINE</t>
  </si>
  <si>
    <t>FILME DO TSO AUTOLINE</t>
  </si>
  <si>
    <t>Com Ermelino</t>
  </si>
  <si>
    <t>FILME DO TSO STAND ALONE</t>
  </si>
  <si>
    <t>187-907</t>
  </si>
  <si>
    <t>046071</t>
  </si>
  <si>
    <t>GONIÔMETRO - MITUTOYO</t>
  </si>
  <si>
    <t>EM CALIBRAÇÃO CERTI - NF 51055</t>
  </si>
  <si>
    <t>068146</t>
  </si>
  <si>
    <t>ZNBW-030203-000007</t>
  </si>
  <si>
    <t>MANOMETRO DIGITAL L&amp;W  - 3000 kPa</t>
  </si>
  <si>
    <t>Sorocaba</t>
  </si>
  <si>
    <t>Não encontrado</t>
  </si>
  <si>
    <t>MANOMETRO 0 a 20 kPa - THOMEN - (839)</t>
  </si>
  <si>
    <t>C031806</t>
  </si>
  <si>
    <t>MANOMETRO 0 a 20 kPa - HUBER - (826)</t>
  </si>
  <si>
    <t>4L70000444A</t>
  </si>
  <si>
    <t>L102702</t>
  </si>
  <si>
    <t>M072006</t>
  </si>
  <si>
    <t>MANOMETRO 0 a 20 kPa - THOMEN</t>
  </si>
  <si>
    <t>MANOMETRO 0 a 20 kPa - THOMEN - (640)</t>
  </si>
  <si>
    <t>ZNBW-051300-000001</t>
  </si>
  <si>
    <t>MEDIDOR DE ALTURA - (Rasgo)</t>
  </si>
  <si>
    <t>NÃO SERÁ CALIBRADO POR ENQUANTO</t>
  </si>
  <si>
    <t>07GZA000</t>
  </si>
  <si>
    <t>4L70000213</t>
  </si>
  <si>
    <t>368-166</t>
  </si>
  <si>
    <t>124M</t>
  </si>
  <si>
    <t>MICRÔMETRO TUBULAR STARRETT - (PFI)</t>
  </si>
  <si>
    <t>124MBZ</t>
  </si>
  <si>
    <t>MULTIMETRO DIGITAL FLUKE</t>
  </si>
  <si>
    <t>No CR com Adauto ( bancada )</t>
  </si>
  <si>
    <t>PAQ-500-172-30B</t>
  </si>
  <si>
    <t>A22325795</t>
  </si>
  <si>
    <t>PAQUÍMETRO DIGITAL - 200 mm</t>
  </si>
  <si>
    <t>Em uso com Jorge Capura</t>
  </si>
  <si>
    <t>A23016230</t>
  </si>
  <si>
    <t>BR0000008124</t>
  </si>
  <si>
    <t>BD027076</t>
  </si>
  <si>
    <t>PAQUIMETRO DIGITAL - 200 mm - (840)</t>
  </si>
  <si>
    <t>BH003222</t>
  </si>
  <si>
    <t>No CR com Adauto ( com defeito )</t>
  </si>
  <si>
    <t xml:space="preserve">PAQUÍMETRO DIGITAL - 200 mm  </t>
  </si>
  <si>
    <t>CTM</t>
  </si>
  <si>
    <t>A21079116</t>
  </si>
  <si>
    <t>11/300019</t>
  </si>
  <si>
    <t>PAQUIMETRO DIGITAL - 300 mm</t>
  </si>
  <si>
    <r>
      <t xml:space="preserve">PESOS - </t>
    </r>
    <r>
      <rPr>
        <b/>
        <sz val="10"/>
        <rFont val="Times New Roman"/>
        <family val="1"/>
      </rPr>
      <t>7</t>
    </r>
    <r>
      <rPr>
        <sz val="10"/>
        <rFont val="Times New Roman"/>
        <family val="1"/>
      </rPr>
      <t xml:space="preserve"> pçs - Bending / Balança</t>
    </r>
  </si>
  <si>
    <t>ID-003</t>
  </si>
  <si>
    <r>
      <rPr>
        <sz val="10"/>
        <color rgb="FF000000"/>
        <rFont val="Times New Roman"/>
        <family val="1"/>
      </rPr>
      <t>PESOS - 9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pçs - Bending / Balança</t>
    </r>
  </si>
  <si>
    <r>
      <t>PESOS -</t>
    </r>
    <r>
      <rPr>
        <b/>
        <sz val="10"/>
        <rFont val="Times New Roman"/>
        <family val="1"/>
      </rPr>
      <t xml:space="preserve"> 8 </t>
    </r>
    <r>
      <rPr>
        <sz val="10"/>
        <rFont val="Times New Roman"/>
        <family val="1"/>
      </rPr>
      <t>pçs - Bending / Balança</t>
    </r>
  </si>
  <si>
    <t>ID-005</t>
  </si>
  <si>
    <r>
      <t xml:space="preserve">PESOS - </t>
    </r>
    <r>
      <rPr>
        <b/>
        <sz val="10"/>
        <rFont val="Times New Roman"/>
        <family val="1"/>
      </rPr>
      <t xml:space="preserve">8 </t>
    </r>
    <r>
      <rPr>
        <sz val="10"/>
        <rFont val="Times New Roman"/>
        <family val="1"/>
      </rPr>
      <t>pçs - Bending / Balança</t>
    </r>
  </si>
  <si>
    <t>KNWAGEN</t>
  </si>
  <si>
    <t>BR0000015989</t>
  </si>
  <si>
    <t>246840-01 / 24840-02</t>
  </si>
  <si>
    <r>
      <t xml:space="preserve">PESOS - </t>
    </r>
    <r>
      <rPr>
        <b/>
        <sz val="10"/>
        <rFont val="Times New Roman"/>
        <family val="1"/>
      </rPr>
      <t>11</t>
    </r>
    <r>
      <rPr>
        <sz val="10"/>
        <rFont val="Times New Roman"/>
        <family val="1"/>
      </rPr>
      <t xml:space="preserve"> pçs - Bending / Balança</t>
    </r>
  </si>
  <si>
    <t>ZNBW-072003-000001</t>
  </si>
  <si>
    <t>ID-001</t>
  </si>
  <si>
    <t>PESOS - 7 pçs -  RASGO</t>
  </si>
  <si>
    <t>ID-004</t>
  </si>
  <si>
    <r>
      <t xml:space="preserve">PESOS - </t>
    </r>
    <r>
      <rPr>
        <b/>
        <sz val="10"/>
        <rFont val="Times New Roman"/>
        <family val="1"/>
      </rPr>
      <t>6</t>
    </r>
    <r>
      <rPr>
        <sz val="10"/>
        <rFont val="Times New Roman"/>
        <family val="1"/>
      </rPr>
      <t xml:space="preserve"> pçs -  RASGO</t>
    </r>
  </si>
  <si>
    <t>4L27837450A</t>
  </si>
  <si>
    <t>L289-5116</t>
  </si>
  <si>
    <r>
      <rPr>
        <sz val="10"/>
        <color rgb="FF000000"/>
        <rFont val="Times New Roman"/>
        <family val="1"/>
      </rPr>
      <t xml:space="preserve">PESOS - </t>
    </r>
    <r>
      <rPr>
        <b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 xml:space="preserve"> pçs + </t>
    </r>
    <r>
      <rPr>
        <b/>
        <sz val="10"/>
        <color rgb="FF000000"/>
        <rFont val="Times New Roman"/>
        <family val="1"/>
      </rPr>
      <t>1</t>
    </r>
    <r>
      <rPr>
        <sz val="10"/>
        <color rgb="FF000000"/>
        <rFont val="Times New Roman"/>
        <family val="1"/>
      </rPr>
      <t xml:space="preserve"> pç de 500g-  RASGO</t>
    </r>
  </si>
  <si>
    <t>ZNBW-080100-000001</t>
  </si>
  <si>
    <t>7017.90.00</t>
  </si>
  <si>
    <t>PRT 2025</t>
  </si>
  <si>
    <t>PROVETA de 00 a 1000 mL</t>
  </si>
  <si>
    <t>PRT-1685</t>
  </si>
  <si>
    <t xml:space="preserve"> BR0000012862 </t>
  </si>
  <si>
    <t>MR</t>
  </si>
  <si>
    <t>BR0000012855</t>
  </si>
  <si>
    <t>506/PTR 4714</t>
  </si>
  <si>
    <t>PROVETA DE VIDRO - 00 a 25 ml</t>
  </si>
  <si>
    <t>PROVETA DE VIDRO - 00 a 25 mL</t>
  </si>
  <si>
    <t>AT6397</t>
  </si>
  <si>
    <t>AT6370</t>
  </si>
  <si>
    <t>AT6360</t>
  </si>
  <si>
    <t>AT6383</t>
  </si>
  <si>
    <t>BR0000008133</t>
  </si>
  <si>
    <t>RELÓGIO COMPARADOR - (Crush)</t>
  </si>
  <si>
    <t>RELÓGIO COMPARADOR - (SCT)</t>
  </si>
  <si>
    <t>BR0000008134</t>
  </si>
  <si>
    <t>70001053-3-7</t>
  </si>
  <si>
    <t>9026.10.19</t>
  </si>
  <si>
    <t>ROTAMETRO YEW - 1500 A 5000 mL/min</t>
  </si>
  <si>
    <t>70001053-1-7</t>
  </si>
  <si>
    <t>ROTAMETRO YEW - 10 A 180 mL/min</t>
  </si>
  <si>
    <t>70001053-2-7</t>
  </si>
  <si>
    <t>ROTAMETRO YEW - 200 A 1800 mL/min</t>
  </si>
  <si>
    <t>ROTAMETRO YEW - 00 a 160 ml/min.</t>
  </si>
  <si>
    <t>ROTAMETRO YEW - 00 a 1600 ml/min</t>
  </si>
  <si>
    <t>ROTAMETRO YEW - 1600 a 6000 mL/min</t>
  </si>
  <si>
    <t>BR0000002664</t>
  </si>
  <si>
    <t>M2245B000158</t>
  </si>
  <si>
    <t>TACÔMETRO DIGITAL  MINIPA</t>
  </si>
  <si>
    <t>DT-2245A</t>
  </si>
  <si>
    <t>TACÔMETRO DIGITAL</t>
  </si>
  <si>
    <t>MD224501148</t>
  </si>
  <si>
    <t>ID07500000612M</t>
  </si>
  <si>
    <t>ID07500000613M</t>
  </si>
  <si>
    <t>TERMÔMETRO DIGITAL</t>
  </si>
  <si>
    <t xml:space="preserve"> </t>
  </si>
  <si>
    <t>BR0000013835</t>
  </si>
  <si>
    <t xml:space="preserve">ZNBW-030251-000002 </t>
  </si>
  <si>
    <t>TRANSDUTOR DE PRESSÃO - 00 a 3000 kPa</t>
  </si>
  <si>
    <t>BR0000008125</t>
  </si>
  <si>
    <t>TRANSCAL 7280 - INDICADOR DIGITAL</t>
  </si>
  <si>
    <t>TRANSCAL 7281 - INDICADOR DIGITAL</t>
  </si>
  <si>
    <t>4L30011015A</t>
  </si>
  <si>
    <t>L099-5024</t>
  </si>
  <si>
    <t>Mala de Força - Power Suitcase Kit</t>
  </si>
  <si>
    <t>DENTRO DO PERÍODO DE TOLERANCIA DE CALIBRAÇÃO</t>
  </si>
  <si>
    <t>SOLICITAR CALIBRAÇÃO :70 Dias Nacionais-120 Dias LW</t>
  </si>
  <si>
    <t>PADRÃO VENCIDO.</t>
  </si>
  <si>
    <t>PADRÕES ATIVOS MAS FORA DO SISTEMA DE CALIBRAÇÃO</t>
  </si>
  <si>
    <t>70001045-7</t>
  </si>
  <si>
    <t>01.31.07</t>
  </si>
  <si>
    <t>DINAMOMETRO  -  10 kN -  (Estouro)</t>
  </si>
  <si>
    <t>FSC / Em sala de Ferramentas Lana</t>
  </si>
  <si>
    <t>VIX</t>
  </si>
  <si>
    <t>29290560-7</t>
  </si>
  <si>
    <t>S5Y7576</t>
  </si>
  <si>
    <t>CÉLULA DE CARGA 40N L&amp;W  OLD</t>
  </si>
  <si>
    <t>FSC</t>
  </si>
  <si>
    <t>S5Z5155</t>
  </si>
  <si>
    <t>CÉLULA DE CARGA 40 N L&amp;W - OLD</t>
  </si>
  <si>
    <t>12018799 </t>
  </si>
  <si>
    <t>CG</t>
  </si>
  <si>
    <t>SENAI</t>
  </si>
  <si>
    <t>PADRÕES DE CHECK QUE NÃO EXIGEM CALIBRAÇÃO</t>
  </si>
  <si>
    <t>4L30007666AA</t>
  </si>
  <si>
    <t>FILME PARA CÂMERA DE FORMAÇÃO</t>
  </si>
  <si>
    <t>4L30007732</t>
  </si>
  <si>
    <t>454H</t>
  </si>
  <si>
    <t>FILME PARA FORMAÇÃO</t>
  </si>
  <si>
    <t>4L30007297</t>
  </si>
  <si>
    <t>80-453</t>
  </si>
  <si>
    <t xml:space="preserve">PADRÃO BENDING AUTOLINE </t>
  </si>
  <si>
    <t>PADRÃO BENDING AUTOLINE</t>
  </si>
  <si>
    <t>PADRÕES SEGREGADOS</t>
  </si>
  <si>
    <t>MICROMETRO INTERNO DIGIMESS</t>
  </si>
  <si>
    <t>CRONÔMETRO DIGITAL- WOCO</t>
  </si>
  <si>
    <r>
      <t xml:space="preserve">CONJ. DE 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 xml:space="preserve"> PESOS -  STFI   -   18 kg</t>
    </r>
  </si>
  <si>
    <t>5C83</t>
  </si>
  <si>
    <t>70001055-7</t>
  </si>
  <si>
    <t>DINAMOMETRO - 5 kN  -   ( Crush/ZD)</t>
  </si>
  <si>
    <t>FILME DO TSO - L&amp;W - STAND ALONE</t>
  </si>
  <si>
    <t>ZNBW-072000-000002</t>
  </si>
  <si>
    <t>L&amp;W CASE 099 S/N 256 - Load cell  500 N</t>
  </si>
  <si>
    <t>MICRÕMETRO INTERNO DE DUAS PONTAS</t>
  </si>
  <si>
    <t>Gero</t>
  </si>
  <si>
    <t>ID-002</t>
  </si>
  <si>
    <r>
      <t xml:space="preserve">PESOS - 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 xml:space="preserve"> pçs -  STFI   -   18 kg  - (Tensile/STFI)</t>
    </r>
  </si>
  <si>
    <t>48 Meses</t>
  </si>
  <si>
    <t>D22305/12</t>
  </si>
  <si>
    <t>ZNBW-030203-000001</t>
  </si>
  <si>
    <t>MANOMETRO DIGITAL L&amp;W  - (Burst/Prensa/PFI/PPS)</t>
  </si>
  <si>
    <t>CAL-116741/14</t>
  </si>
  <si>
    <t>GONIÔMETRO - DIGIMESS</t>
  </si>
  <si>
    <t>5E44</t>
  </si>
  <si>
    <t>DINAMOMETRO  -  5 kN -  (Crush/ZD)</t>
  </si>
  <si>
    <t>139570-101 / Em sala de Ferramentas Lana</t>
  </si>
  <si>
    <t>70001037-7</t>
  </si>
  <si>
    <t>L1063</t>
  </si>
  <si>
    <t>DINAMOMETRO  -  1 kN  -  (PPS)</t>
  </si>
  <si>
    <t>139849-101</t>
  </si>
  <si>
    <t>147051-101</t>
  </si>
  <si>
    <t>01.31.08</t>
  </si>
  <si>
    <t>147050-101</t>
  </si>
  <si>
    <t>70001056-7</t>
  </si>
  <si>
    <t>3C60</t>
  </si>
  <si>
    <t>DINAMOMETRO  -  1 kN -  (Tensile/ZD)</t>
  </si>
  <si>
    <t>139572-101 / Em sala de Ferramentas Lana</t>
  </si>
  <si>
    <t>DINAMÔMETRO  -  10 kN -  (Estouro)</t>
  </si>
  <si>
    <t>714393 /  Em sala de Ferramentas Lana</t>
  </si>
  <si>
    <t>2016/003145 /  Em sala de Ferramentas Lana</t>
  </si>
  <si>
    <t>CRONÔMETRO DIGITAL - OREGON  - (845)</t>
  </si>
  <si>
    <t>2017/000708</t>
  </si>
  <si>
    <t>CETEC</t>
  </si>
  <si>
    <t>Em calibração</t>
  </si>
  <si>
    <t>4L29394150AA</t>
  </si>
  <si>
    <t>FILME DO TSO  -  STAND ALONE</t>
  </si>
  <si>
    <t>Em sala de ferramentas Lana</t>
  </si>
  <si>
    <t>Desativado</t>
  </si>
  <si>
    <t>THERMO-HIGRÔMETRO</t>
  </si>
  <si>
    <r>
      <t>ZNBW-030311-000002</t>
    </r>
    <r>
      <rPr>
        <sz val="11"/>
        <color indexed="63"/>
        <rFont val="Times New Roman"/>
        <family val="1"/>
      </rPr>
      <t> </t>
    </r>
  </si>
  <si>
    <t>D353</t>
  </si>
  <si>
    <t xml:space="preserve">DINAMOMETRO  -  500 N -  (Tensile/STFI) </t>
  </si>
  <si>
    <t>5C61</t>
  </si>
  <si>
    <t>8A61</t>
  </si>
  <si>
    <t>DINAMOMETRO  -  50 kN -  (Prensa 040)</t>
  </si>
  <si>
    <t>MGC00076</t>
  </si>
  <si>
    <t>MICROMETRO INTERNO - (Crush) - (528)</t>
  </si>
  <si>
    <t>Em sala de Ferramentas Lana / Devolução sem calibração reparo</t>
  </si>
  <si>
    <t>ZNBW-030203-000006</t>
  </si>
  <si>
    <t>MANOMETRO TH 0 a 3000 kPa</t>
  </si>
  <si>
    <t>Com defeito / Em sala de Ferramentas Lana</t>
  </si>
  <si>
    <t>Padrão</t>
  </si>
  <si>
    <t>Faixas de calibração</t>
  </si>
  <si>
    <t>700, 740, 780, 820, 860, 900, 940, 980, 1020, 1060 e 1100 hPa</t>
  </si>
  <si>
    <t>25, 50, 100, 150, 200, 250, 300, 500, 800, 1000, 1500, 2000, 2500, 3000 e 5000 ml/min</t>
  </si>
  <si>
    <t>25, 50, 100, 150, 200, 250, 300, 500, 800, 1000, 1500, 2000, 2500, 3000, 5000, 6000, 8000, 12000 ml/min</t>
  </si>
  <si>
    <t>25, 50, 100, 150, 200, 250, 300, 500, 800, 1000, 1500, 2000, 2500, ml/min e 180, 210, 240, 300, 360, 480 e 720 l/h</t>
  </si>
  <si>
    <t>0,1 - 0,2 - 0,3 - 0,5 - 0,7 - 1 - 1,9 - 2 - 3 - 5 mm</t>
  </si>
  <si>
    <t>1, 2, 5, 10, 15, 20, 25 30 N (compressão)</t>
  </si>
  <si>
    <t>25, 50, 100, 150, 200, 300, 500, 750 e 950 N (tração)</t>
  </si>
  <si>
    <t>10, 15, 20, 25, 30, 40, 50, 60, 70, 80 e 90 N (tração)</t>
  </si>
  <si>
    <t>50, 100, 150, 200, 250, 500, 700, 950, 0,0 (compressão)</t>
  </si>
  <si>
    <t>100, 250, 500, 750, 1000, 1500, 2000, 2500, 3000, 3500, 4000 e 5000 N (compressão)</t>
  </si>
  <si>
    <t>20, 40, 60, 100, 150, 200, 300, 400, 500, 600 s</t>
  </si>
  <si>
    <t>0, 2, 5, 15, 30, 60, 90, 92, 95, 105, 120, 150, 180, 182, 185, 195, 210, 240, 270, 272, 275, 285, 300, 330, e 360 °</t>
  </si>
  <si>
    <t>0- 1 - 1,5 - 2 - 2,5 - 5 - 10 - 15 - 20 kPa</t>
  </si>
  <si>
    <t>0, 25, 50, 75, 100, 150, 200, 250, 300, 350 e 400 mm</t>
  </si>
  <si>
    <t>MICRÔMETRO TUBULAR STARRETT - (PFI) VIX</t>
  </si>
  <si>
    <t>MICRÔMETRO TUBULAR STARRETT - (PFI) SP</t>
  </si>
  <si>
    <t>Verificar as diferenças entre os dois micrometros para acertar o range</t>
  </si>
  <si>
    <t>12014686  - 239,6</t>
  </si>
  <si>
    <t>0,05 - 0,1 - 0,25 - 0,5 - 1 - 5 - 10 - 12 - 24 - 50 VDC / 0 - 25 - 50 - 100 - 110 - 127 - 220 - 300 - 500 VCA / 0 - 0,25 - 0,5 - 1 - 2,5 - 5 - 7,5 - 10 ACC e ACA / 0 - 0,25 - 0,5 - 1 - 5 - 10 - 25 - 50 - 100 - 250 - 500 - 750 Ohms / 1 - 2,5 - 5 - 10 - 25 - 50 - 100 - 250 - 500 - 750 Kohms / 1 - 5 - 10 - 25 - 50 Mohms</t>
  </si>
  <si>
    <t>0, 1, 2, 5, 10, 20, 50, 100, 150, 200 mm</t>
  </si>
  <si>
    <t>0, 1, 2, 5, 10, 20, 50, 100, 150, 200, 250, 300 mm</t>
  </si>
  <si>
    <t xml:space="preserve">0 - 0,1 - 0,2 - 0,3 - 0,4 - 0,45 - 0,46 - 0,47 - 0,48 - 0,49 - 0,50 - 0,51 - 0,52 - 0,53 - 0,54 - 0,55 - 0,6 - 0,7 - 0,8 - 0,9 - 1 mm </t>
  </si>
  <si>
    <t>Verificar as melhores posições para definir o range</t>
  </si>
  <si>
    <t>0, 10, 25, 40, 50, 75, 100, 120, 150, 180 ml/min</t>
  </si>
  <si>
    <t>200, 250, 300, 400, 500, 800, 1000, 1200, 1500, 1800 ml/min</t>
  </si>
  <si>
    <t>1500, 2000, 2500, 3000, 4000, 5000, 6000 ml/min</t>
  </si>
  <si>
    <t>50, 100, 150, 200, 250, 500, 750, 1000, 1500, 2000, 3000, 4000, 5000, 6000, 7000, 8000, 9000 RPM para ambos os sensores</t>
  </si>
  <si>
    <t>0, 10, 25, 50, 75, 100, 150, 180 ºC</t>
  </si>
  <si>
    <t>0, 50, 100, 250, 500, 750, 1000, 1500, 2000, 2500, 3000 kPa</t>
  </si>
  <si>
    <t>CALIBRAÇÃO ROTÂMETROS (RBC)</t>
  </si>
  <si>
    <t>NDR</t>
  </si>
  <si>
    <t>Faz mas não RBC</t>
  </si>
  <si>
    <t>Certi</t>
  </si>
  <si>
    <t>Não faz</t>
  </si>
  <si>
    <t>Ctm</t>
  </si>
  <si>
    <t>Absi</t>
  </si>
  <si>
    <t>Presys</t>
  </si>
  <si>
    <t> </t>
  </si>
  <si>
    <t>Sol. Cal. Urgen.</t>
  </si>
  <si>
    <t>Vencido</t>
  </si>
  <si>
    <t>MDT-2238B</t>
  </si>
  <si>
    <t>Sol. Cal.</t>
  </si>
  <si>
    <t>511-132</t>
  </si>
  <si>
    <t>511-134</t>
  </si>
  <si>
    <t>.07975</t>
  </si>
  <si>
    <t>No CR com Adauto ( aguardando validação )</t>
  </si>
  <si>
    <t>EM CALIBRAÇAO CERTI -NF 51350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</si>
</sst>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d/mm/yy;@"/>
  </numFmts>
  <fonts count="3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10"/>
      <name val="Times New Roman"/>
      <family val="1"/>
    </font>
    <font>
      <b/>
      <sz val="10"/>
      <color indexed="56"/>
      <name val="Times New Roman"/>
      <family val="1"/>
    </font>
    <font>
      <b/>
      <sz val="10"/>
      <color indexed="48"/>
      <name val="Times New Roman"/>
      <family val="1"/>
    </font>
    <font>
      <b/>
      <sz val="8"/>
      <color indexed="48"/>
      <name val="Times New Roman"/>
      <family val="1"/>
    </font>
    <font>
      <sz val="10"/>
      <color indexed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b/>
      <sz val="14"/>
      <name val="Times New Roman"/>
      <family val="1"/>
    </font>
    <font>
      <sz val="11"/>
      <color indexed="63"/>
      <name val="Times New Roman"/>
      <family val="1"/>
    </font>
    <font>
      <sz val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b/>
      <sz val="10"/>
      <color theme="3"/>
      <name val="Times New Roman"/>
      <family val="1"/>
    </font>
    <font>
      <b/>
      <sz val="10"/>
      <color rgb="FF002060"/>
      <name val="Times New Roman"/>
      <family val="1"/>
    </font>
    <font>
      <sz val="10"/>
      <color rgb="FFFF0000"/>
      <name val="Times New Roman"/>
      <family val="1"/>
    </font>
    <font>
      <sz val="8"/>
      <color rgb="FFFF0000"/>
      <name val="Times New Roman"/>
      <family val="1"/>
    </font>
    <font>
      <sz val="11"/>
      <name val="Calibri"/>
      <family val="2"/>
      <charset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indexed="81"/>
      <name val="Segoe UI"/>
      <family val="2"/>
    </font>
    <font>
      <b/>
      <sz val="14"/>
      <color rgb="FFFFFF00"/>
      <name val="Arial"/>
      <family val="2"/>
    </font>
    <font>
      <b/>
      <sz val="9"/>
      <color indexed="81"/>
      <name val="Segoe UI"/>
      <family val="2"/>
    </font>
    <font>
      <sz val="11"/>
      <color rgb="FF242424"/>
      <name val="Aptos Narrow"/>
      <family val="2"/>
    </font>
    <font>
      <sz val="12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 applyProtection="1">
      <alignment horizontal="center"/>
      <protection locked="0"/>
    </xf>
    <xf numFmtId="0" fontId="2" fillId="0" borderId="5" xfId="0" applyFont="1" applyBorder="1"/>
    <xf numFmtId="0" fontId="10" fillId="0" borderId="6" xfId="0" applyFont="1" applyBorder="1"/>
    <xf numFmtId="0" fontId="13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8" xfId="0" applyFont="1" applyBorder="1"/>
    <xf numFmtId="0" fontId="12" fillId="0" borderId="8" xfId="0" applyFont="1" applyBorder="1"/>
    <xf numFmtId="0" fontId="10" fillId="0" borderId="9" xfId="0" applyFont="1" applyBorder="1"/>
    <xf numFmtId="164" fontId="2" fillId="0" borderId="7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5" fillId="2" borderId="2" xfId="0" applyNumberFormat="1" applyFont="1" applyFill="1" applyBorder="1" applyAlignment="1">
      <alignment horizontal="center"/>
    </xf>
    <xf numFmtId="0" fontId="2" fillId="0" borderId="2" xfId="0" applyFont="1" applyBorder="1"/>
    <xf numFmtId="0" fontId="13" fillId="0" borderId="2" xfId="0" applyFont="1" applyBorder="1"/>
    <xf numFmtId="0" fontId="13" fillId="0" borderId="2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left"/>
    </xf>
    <xf numFmtId="0" fontId="2" fillId="0" borderId="2" xfId="0" quotePrefix="1" applyFont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6" fillId="6" borderId="15" xfId="0" applyFont="1" applyFill="1" applyBorder="1" applyAlignment="1" applyProtection="1">
      <alignment horizontal="left"/>
      <protection locked="0"/>
    </xf>
    <xf numFmtId="0" fontId="5" fillId="2" borderId="2" xfId="0" applyFont="1" applyFill="1" applyBorder="1" applyAlignment="1">
      <alignment horizontal="center"/>
    </xf>
    <xf numFmtId="0" fontId="7" fillId="6" borderId="16" xfId="0" applyFont="1" applyFill="1" applyBorder="1" applyAlignment="1" applyProtection="1">
      <alignment horizontal="center"/>
      <protection locked="0"/>
    </xf>
    <xf numFmtId="0" fontId="7" fillId="6" borderId="17" xfId="0" applyFont="1" applyFill="1" applyBorder="1" applyAlignment="1" applyProtection="1">
      <alignment horizontal="center"/>
      <protection locked="0"/>
    </xf>
    <xf numFmtId="0" fontId="8" fillId="6" borderId="17" xfId="0" applyFont="1" applyFill="1" applyBorder="1" applyAlignment="1" applyProtection="1">
      <alignment horizontal="center"/>
      <protection locked="0"/>
    </xf>
    <xf numFmtId="0" fontId="8" fillId="6" borderId="17" xfId="0" applyFont="1" applyFill="1" applyBorder="1" applyAlignment="1" applyProtection="1">
      <alignment horizontal="left"/>
      <protection locked="0"/>
    </xf>
    <xf numFmtId="0" fontId="20" fillId="0" borderId="2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1" fillId="8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2" fillId="0" borderId="2" xfId="0" applyNumberFormat="1" applyFont="1" applyBorder="1" applyAlignment="1">
      <alignment horizontal="left"/>
    </xf>
    <xf numFmtId="1" fontId="2" fillId="2" borderId="2" xfId="0" applyNumberFormat="1" applyFont="1" applyFill="1" applyBorder="1" applyAlignment="1">
      <alignment horizontal="left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10" xfId="0" applyFont="1" applyFill="1" applyBorder="1"/>
    <xf numFmtId="0" fontId="2" fillId="0" borderId="10" xfId="0" applyFont="1" applyBorder="1"/>
    <xf numFmtId="0" fontId="2" fillId="0" borderId="10" xfId="0" applyFont="1" applyBorder="1" applyAlignment="1">
      <alignment horizontal="left"/>
    </xf>
    <xf numFmtId="0" fontId="13" fillId="0" borderId="10" xfId="0" applyFont="1" applyBorder="1"/>
    <xf numFmtId="0" fontId="8" fillId="6" borderId="17" xfId="0" applyFont="1" applyFill="1" applyBorder="1" applyProtection="1">
      <protection locked="0"/>
    </xf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left"/>
    </xf>
    <xf numFmtId="0" fontId="2" fillId="8" borderId="2" xfId="0" applyFont="1" applyFill="1" applyBorder="1"/>
    <xf numFmtId="0" fontId="14" fillId="0" borderId="9" xfId="0" applyFont="1" applyBorder="1" applyAlignment="1">
      <alignment horizontal="center"/>
    </xf>
    <xf numFmtId="0" fontId="14" fillId="0" borderId="9" xfId="0" applyFont="1" applyBorder="1" applyAlignment="1">
      <alignment horizontal="left"/>
    </xf>
    <xf numFmtId="164" fontId="2" fillId="9" borderId="7" xfId="0" applyNumberFormat="1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 applyProtection="1">
      <alignment horizontal="left"/>
      <protection locked="0"/>
    </xf>
    <xf numFmtId="0" fontId="1" fillId="0" borderId="0" xfId="0" applyFont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21" xfId="0" applyFont="1" applyBorder="1" applyAlignment="1">
      <alignment horizontal="center"/>
    </xf>
    <xf numFmtId="0" fontId="25" fillId="0" borderId="0" xfId="0" applyFont="1"/>
    <xf numFmtId="0" fontId="26" fillId="0" borderId="0" xfId="0" applyFont="1"/>
    <xf numFmtId="0" fontId="0" fillId="0" borderId="22" xfId="0" applyBorder="1" applyAlignment="1">
      <alignment horizontal="center"/>
    </xf>
    <xf numFmtId="0" fontId="0" fillId="0" borderId="22" xfId="0" applyBorder="1"/>
    <xf numFmtId="0" fontId="2" fillId="0" borderId="20" xfId="0" applyFont="1" applyBorder="1" applyAlignment="1" applyProtection="1">
      <alignment horizontal="left"/>
      <protection locked="0"/>
    </xf>
    <xf numFmtId="164" fontId="2" fillId="10" borderId="7" xfId="0" applyNumberFormat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5" fillId="11" borderId="7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0" borderId="7" xfId="0" applyFont="1" applyBorder="1"/>
    <xf numFmtId="0" fontId="5" fillId="10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1" fontId="2" fillId="0" borderId="7" xfId="0" applyNumberFormat="1" applyFont="1" applyBorder="1" applyAlignment="1">
      <alignment horizontal="left"/>
    </xf>
    <xf numFmtId="0" fontId="5" fillId="13" borderId="7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27" fillId="0" borderId="0" xfId="0" applyFont="1"/>
    <xf numFmtId="0" fontId="2" fillId="0" borderId="29" xfId="0" applyFont="1" applyBorder="1" applyAlignment="1">
      <alignment horizontal="center"/>
    </xf>
    <xf numFmtId="0" fontId="2" fillId="0" borderId="29" xfId="0" applyFont="1" applyBorder="1" applyAlignment="1" applyProtection="1">
      <alignment horizontal="center"/>
      <protection locked="0"/>
    </xf>
    <xf numFmtId="0" fontId="2" fillId="0" borderId="27" xfId="0" applyFont="1" applyBorder="1" applyAlignment="1">
      <alignment horizontal="left"/>
    </xf>
    <xf numFmtId="0" fontId="5" fillId="0" borderId="29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2" fillId="0" borderId="7" xfId="0" quotePrefix="1" applyFont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13" fillId="0" borderId="7" xfId="0" applyFont="1" applyBorder="1"/>
    <xf numFmtId="14" fontId="19" fillId="7" borderId="14" xfId="0" applyNumberFormat="1" applyFont="1" applyFill="1" applyBorder="1" applyAlignment="1">
      <alignment horizontal="center" vertical="center"/>
    </xf>
    <xf numFmtId="0" fontId="8" fillId="6" borderId="18" xfId="0" applyFont="1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left" vertical="center"/>
    </xf>
    <xf numFmtId="0" fontId="8" fillId="6" borderId="18" xfId="0" applyFont="1" applyFill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5" fillId="0" borderId="2" xfId="0" applyFont="1" applyBorder="1" applyAlignment="1">
      <alignment horizontal="left"/>
    </xf>
    <xf numFmtId="165" fontId="2" fillId="0" borderId="2" xfId="0" applyNumberFormat="1" applyFont="1" applyBorder="1" applyAlignment="1" applyProtection="1">
      <alignment horizontal="center"/>
      <protection locked="0"/>
    </xf>
    <xf numFmtId="165" fontId="5" fillId="0" borderId="2" xfId="0" applyNumberFormat="1" applyFont="1" applyBorder="1" applyAlignment="1">
      <alignment horizontal="center"/>
    </xf>
    <xf numFmtId="165" fontId="2" fillId="8" borderId="2" xfId="0" applyNumberFormat="1" applyFont="1" applyFill="1" applyBorder="1" applyAlignment="1" applyProtection="1">
      <alignment horizontal="center"/>
      <protection locked="0"/>
    </xf>
    <xf numFmtId="165" fontId="2" fillId="0" borderId="7" xfId="0" applyNumberFormat="1" applyFont="1" applyBorder="1" applyAlignment="1" applyProtection="1">
      <alignment horizontal="center"/>
      <protection locked="0"/>
    </xf>
    <xf numFmtId="165" fontId="5" fillId="0" borderId="7" xfId="0" applyNumberFormat="1" applyFont="1" applyBorder="1" applyAlignment="1">
      <alignment horizontal="center"/>
    </xf>
    <xf numFmtId="165" fontId="2" fillId="2" borderId="7" xfId="0" applyNumberFormat="1" applyFont="1" applyFill="1" applyBorder="1" applyAlignment="1" applyProtection="1">
      <alignment horizontal="center"/>
      <protection locked="0"/>
    </xf>
    <xf numFmtId="165" fontId="5" fillId="2" borderId="7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 applyProtection="1">
      <alignment horizontal="center"/>
      <protection locked="0"/>
    </xf>
    <xf numFmtId="165" fontId="5" fillId="2" borderId="2" xfId="0" applyNumberFormat="1" applyFont="1" applyFill="1" applyBorder="1" applyAlignment="1">
      <alignment horizontal="center"/>
    </xf>
    <xf numFmtId="165" fontId="0" fillId="0" borderId="22" xfId="0" applyNumberFormat="1" applyBorder="1"/>
    <xf numFmtId="165" fontId="5" fillId="0" borderId="4" xfId="0" applyNumberFormat="1" applyFont="1" applyBorder="1" applyAlignment="1">
      <alignment vertical="center"/>
    </xf>
    <xf numFmtId="165" fontId="8" fillId="6" borderId="17" xfId="0" applyNumberFormat="1" applyFont="1" applyFill="1" applyBorder="1" applyAlignment="1" applyProtection="1">
      <alignment horizontal="left"/>
      <protection locked="0"/>
    </xf>
    <xf numFmtId="165" fontId="2" fillId="0" borderId="0" xfId="0" applyNumberFormat="1" applyFont="1"/>
    <xf numFmtId="165" fontId="2" fillId="0" borderId="0" xfId="0" applyNumberFormat="1" applyFont="1" applyAlignment="1">
      <alignment horizontal="left"/>
    </xf>
    <xf numFmtId="165" fontId="14" fillId="0" borderId="9" xfId="0" applyNumberFormat="1" applyFont="1" applyBorder="1" applyAlignment="1">
      <alignment horizontal="center"/>
    </xf>
    <xf numFmtId="165" fontId="5" fillId="2" borderId="2" xfId="0" applyNumberFormat="1" applyFont="1" applyFill="1" applyBorder="1" applyAlignment="1" applyProtection="1">
      <alignment horizontal="center"/>
      <protection locked="0"/>
    </xf>
    <xf numFmtId="165" fontId="0" fillId="0" borderId="0" xfId="0" applyNumberFormat="1"/>
    <xf numFmtId="0" fontId="2" fillId="8" borderId="7" xfId="0" applyFont="1" applyFill="1" applyBorder="1" applyAlignment="1">
      <alignment horizontal="left"/>
    </xf>
    <xf numFmtId="0" fontId="5" fillId="11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2" fillId="2" borderId="7" xfId="0" applyFont="1" applyFill="1" applyBorder="1"/>
    <xf numFmtId="0" fontId="5" fillId="13" borderId="2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left"/>
    </xf>
    <xf numFmtId="0" fontId="5" fillId="14" borderId="2" xfId="0" applyFont="1" applyFill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2" fillId="8" borderId="2" xfId="0" applyFont="1" applyFill="1" applyBorder="1" applyAlignment="1" applyProtection="1">
      <alignment horizontal="left" vertical="center"/>
      <protection locked="0"/>
    </xf>
    <xf numFmtId="165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 vertical="center"/>
    </xf>
    <xf numFmtId="164" fontId="2" fillId="10" borderId="2" xfId="0" applyNumberFormat="1" applyFont="1" applyFill="1" applyBorder="1" applyAlignment="1">
      <alignment horizontal="center"/>
    </xf>
    <xf numFmtId="0" fontId="2" fillId="8" borderId="7" xfId="0" applyFont="1" applyFill="1" applyBorder="1" applyAlignment="1" applyProtection="1">
      <alignment horizontal="left" vertical="center"/>
      <protection locked="0"/>
    </xf>
    <xf numFmtId="0" fontId="2" fillId="0" borderId="30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2" fillId="0" borderId="30" xfId="0" applyFont="1" applyBorder="1" applyAlignment="1">
      <alignment horizontal="left"/>
    </xf>
    <xf numFmtId="0" fontId="5" fillId="12" borderId="30" xfId="0" applyFont="1" applyFill="1" applyBorder="1" applyAlignment="1">
      <alignment horizontal="center"/>
    </xf>
    <xf numFmtId="0" fontId="2" fillId="0" borderId="30" xfId="0" applyFont="1" applyBorder="1" applyAlignment="1" applyProtection="1">
      <alignment horizontal="center"/>
      <protection locked="0"/>
    </xf>
    <xf numFmtId="165" fontId="2" fillId="0" borderId="30" xfId="0" applyNumberFormat="1" applyFont="1" applyBorder="1" applyAlignment="1" applyProtection="1">
      <alignment horizontal="center"/>
      <protection locked="0"/>
    </xf>
    <xf numFmtId="165" fontId="5" fillId="0" borderId="30" xfId="0" applyNumberFormat="1" applyFont="1" applyBorder="1" applyAlignment="1">
      <alignment horizontal="center"/>
    </xf>
    <xf numFmtId="164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 applyProtection="1">
      <alignment horizontal="left" vertical="center"/>
      <protection locked="0"/>
    </xf>
    <xf numFmtId="0" fontId="25" fillId="0" borderId="22" xfId="0" applyFont="1" applyBorder="1"/>
    <xf numFmtId="0" fontId="2" fillId="0" borderId="22" xfId="0" applyFont="1" applyBorder="1"/>
    <xf numFmtId="165" fontId="2" fillId="8" borderId="7" xfId="0" applyNumberFormat="1" applyFont="1" applyFill="1" applyBorder="1" applyAlignment="1" applyProtection="1">
      <alignment horizontal="center"/>
      <protection locked="0"/>
    </xf>
    <xf numFmtId="0" fontId="5" fillId="8" borderId="30" xfId="0" applyFont="1" applyFill="1" applyBorder="1" applyAlignment="1">
      <alignment horizontal="center"/>
    </xf>
    <xf numFmtId="0" fontId="5" fillId="0" borderId="30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30" xfId="0" quotePrefix="1" applyFont="1" applyBorder="1" applyAlignment="1">
      <alignment horizontal="center"/>
    </xf>
    <xf numFmtId="0" fontId="5" fillId="9" borderId="30" xfId="0" applyFont="1" applyFill="1" applyBorder="1" applyAlignment="1">
      <alignment horizontal="center"/>
    </xf>
    <xf numFmtId="0" fontId="2" fillId="0" borderId="30" xfId="0" applyFont="1" applyBorder="1"/>
    <xf numFmtId="0" fontId="5" fillId="13" borderId="30" xfId="0" applyFont="1" applyFill="1" applyBorder="1" applyAlignment="1">
      <alignment horizontal="center"/>
    </xf>
    <xf numFmtId="0" fontId="13" fillId="0" borderId="30" xfId="0" applyFont="1" applyBorder="1" applyAlignment="1">
      <alignment horizontal="left"/>
    </xf>
    <xf numFmtId="0" fontId="13" fillId="0" borderId="30" xfId="0" applyFont="1" applyBorder="1"/>
    <xf numFmtId="0" fontId="5" fillId="11" borderId="30" xfId="0" applyFont="1" applyFill="1" applyBorder="1" applyAlignment="1">
      <alignment horizontal="center"/>
    </xf>
    <xf numFmtId="0" fontId="2" fillId="8" borderId="30" xfId="0" applyFont="1" applyFill="1" applyBorder="1" applyAlignment="1" applyProtection="1">
      <alignment horizontal="left" vertical="center"/>
      <protection locked="0"/>
    </xf>
    <xf numFmtId="165" fontId="5" fillId="0" borderId="7" xfId="0" applyNumberFormat="1" applyFont="1" applyBorder="1" applyAlignment="1" applyProtection="1">
      <alignment horizontal="center"/>
      <protection locked="0"/>
    </xf>
    <xf numFmtId="165" fontId="5" fillId="0" borderId="30" xfId="0" applyNumberFormat="1" applyFont="1" applyBorder="1" applyAlignment="1" applyProtection="1">
      <alignment horizontal="center"/>
      <protection locked="0"/>
    </xf>
    <xf numFmtId="0" fontId="27" fillId="0" borderId="22" xfId="0" applyFont="1" applyBorder="1"/>
    <xf numFmtId="0" fontId="5" fillId="10" borderId="30" xfId="0" applyFont="1" applyFill="1" applyBorder="1" applyAlignment="1">
      <alignment horizontal="center"/>
    </xf>
    <xf numFmtId="0" fontId="26" fillId="0" borderId="22" xfId="0" applyFont="1" applyBorder="1"/>
    <xf numFmtId="0" fontId="11" fillId="0" borderId="7" xfId="0" applyFont="1" applyBorder="1"/>
    <xf numFmtId="1" fontId="2" fillId="0" borderId="30" xfId="0" applyNumberFormat="1" applyFont="1" applyBorder="1" applyAlignment="1">
      <alignment horizontal="left"/>
    </xf>
    <xf numFmtId="165" fontId="2" fillId="2" borderId="30" xfId="0" applyNumberFormat="1" applyFont="1" applyFill="1" applyBorder="1" applyAlignment="1" applyProtection="1">
      <alignment horizontal="center"/>
      <protection locked="0"/>
    </xf>
    <xf numFmtId="165" fontId="5" fillId="2" borderId="30" xfId="0" applyNumberFormat="1" applyFont="1" applyFill="1" applyBorder="1" applyAlignment="1">
      <alignment horizontal="center"/>
    </xf>
    <xf numFmtId="0" fontId="1" fillId="0" borderId="22" xfId="0" applyFont="1" applyBorder="1"/>
    <xf numFmtId="0" fontId="5" fillId="0" borderId="22" xfId="0" applyFont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14" borderId="30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left"/>
    </xf>
    <xf numFmtId="0" fontId="2" fillId="8" borderId="30" xfId="0" applyFont="1" applyFill="1" applyBorder="1"/>
    <xf numFmtId="1" fontId="2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0" fontId="5" fillId="13" borderId="29" xfId="0" applyFont="1" applyFill="1" applyBorder="1" applyAlignment="1">
      <alignment horizontal="center"/>
    </xf>
    <xf numFmtId="165" fontId="2" fillId="0" borderId="23" xfId="0" applyNumberFormat="1" applyFont="1" applyBorder="1" applyAlignment="1" applyProtection="1">
      <alignment horizontal="center"/>
      <protection locked="0"/>
    </xf>
    <xf numFmtId="165" fontId="5" fillId="0" borderId="23" xfId="0" applyNumberFormat="1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0" fontId="2" fillId="2" borderId="29" xfId="0" applyFont="1" applyFill="1" applyBorder="1" applyAlignment="1">
      <alignment horizontal="left"/>
    </xf>
    <xf numFmtId="0" fontId="2" fillId="0" borderId="29" xfId="0" quotePrefix="1" applyFont="1" applyBorder="1" applyAlignment="1">
      <alignment horizontal="center"/>
    </xf>
    <xf numFmtId="0" fontId="2" fillId="2" borderId="29" xfId="0" applyFont="1" applyFill="1" applyBorder="1"/>
    <xf numFmtId="165" fontId="2" fillId="0" borderId="29" xfId="0" applyNumberFormat="1" applyFont="1" applyBorder="1" applyAlignment="1" applyProtection="1">
      <alignment horizontal="center"/>
      <protection locked="0"/>
    </xf>
    <xf numFmtId="165" fontId="5" fillId="0" borderId="29" xfId="0" applyNumberFormat="1" applyFont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0" fontId="5" fillId="12" borderId="23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" fillId="0" borderId="23" xfId="0" applyFont="1" applyBorder="1" applyAlignment="1" applyProtection="1">
      <alignment horizontal="left" vertical="center"/>
      <protection locked="0"/>
    </xf>
    <xf numFmtId="0" fontId="5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2" borderId="31" xfId="0" applyFont="1" applyFill="1" applyBorder="1" applyAlignment="1">
      <alignment horizontal="left"/>
    </xf>
    <xf numFmtId="0" fontId="2" fillId="0" borderId="31" xfId="0" quotePrefix="1" applyFont="1" applyBorder="1" applyAlignment="1">
      <alignment horizontal="center"/>
    </xf>
    <xf numFmtId="0" fontId="2" fillId="2" borderId="31" xfId="0" applyFont="1" applyFill="1" applyBorder="1"/>
    <xf numFmtId="0" fontId="5" fillId="13" borderId="31" xfId="0" applyFont="1" applyFill="1" applyBorder="1" applyAlignment="1">
      <alignment horizontal="center"/>
    </xf>
    <xf numFmtId="0" fontId="2" fillId="0" borderId="31" xfId="0" applyFont="1" applyBorder="1" applyAlignment="1" applyProtection="1">
      <alignment horizontal="center"/>
      <protection locked="0"/>
    </xf>
    <xf numFmtId="165" fontId="2" fillId="0" borderId="31" xfId="0" applyNumberFormat="1" applyFont="1" applyBorder="1" applyAlignment="1" applyProtection="1">
      <alignment horizontal="center"/>
      <protection locked="0"/>
    </xf>
    <xf numFmtId="165" fontId="5" fillId="0" borderId="31" xfId="0" applyNumberFormat="1" applyFont="1" applyBorder="1" applyAlignment="1">
      <alignment horizontal="center"/>
    </xf>
    <xf numFmtId="164" fontId="2" fillId="0" borderId="31" xfId="0" applyNumberFormat="1" applyFont="1" applyBorder="1" applyAlignment="1">
      <alignment horizontal="center"/>
    </xf>
    <xf numFmtId="0" fontId="2" fillId="8" borderId="31" xfId="0" applyFont="1" applyFill="1" applyBorder="1" applyAlignment="1" applyProtection="1">
      <alignment horizontal="left" vertical="center"/>
      <protection locked="0"/>
    </xf>
    <xf numFmtId="0" fontId="28" fillId="0" borderId="30" xfId="0" applyFont="1" applyBorder="1"/>
    <xf numFmtId="0" fontId="5" fillId="0" borderId="27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2" fillId="0" borderId="32" xfId="0" applyFont="1" applyBorder="1"/>
    <xf numFmtId="0" fontId="5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5" fillId="13" borderId="11" xfId="0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2" xfId="0" applyFont="1" applyBorder="1" applyAlignment="1">
      <alignment horizontal="left"/>
    </xf>
    <xf numFmtId="0" fontId="2" fillId="0" borderId="28" xfId="0" applyFont="1" applyBorder="1"/>
    <xf numFmtId="0" fontId="2" fillId="0" borderId="28" xfId="0" applyFont="1" applyBorder="1" applyAlignment="1" applyProtection="1">
      <alignment horizontal="center"/>
      <protection locked="0"/>
    </xf>
    <xf numFmtId="165" fontId="2" fillId="0" borderId="28" xfId="0" applyNumberFormat="1" applyFont="1" applyBorder="1" applyAlignment="1" applyProtection="1">
      <alignment horizontal="center"/>
      <protection locked="0"/>
    </xf>
    <xf numFmtId="165" fontId="5" fillId="0" borderId="28" xfId="0" applyNumberFormat="1" applyFont="1" applyBorder="1" applyAlignment="1">
      <alignment horizontal="center"/>
    </xf>
    <xf numFmtId="164" fontId="2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165" fontId="2" fillId="2" borderId="28" xfId="0" applyNumberFormat="1" applyFont="1" applyFill="1" applyBorder="1" applyAlignment="1" applyProtection="1">
      <alignment horizontal="center"/>
      <protection locked="0"/>
    </xf>
    <xf numFmtId="165" fontId="5" fillId="2" borderId="28" xfId="0" applyNumberFormat="1" applyFont="1" applyFill="1" applyBorder="1" applyAlignment="1">
      <alignment horizontal="center"/>
    </xf>
    <xf numFmtId="164" fontId="2" fillId="0" borderId="34" xfId="0" applyNumberFormat="1" applyFont="1" applyBorder="1" applyAlignment="1">
      <alignment horizontal="center"/>
    </xf>
    <xf numFmtId="0" fontId="31" fillId="1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/>
    <xf numFmtId="0" fontId="11" fillId="0" borderId="2" xfId="0" applyFont="1" applyBorder="1"/>
    <xf numFmtId="0" fontId="0" fillId="0" borderId="2" xfId="0" applyBorder="1"/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5" fillId="12" borderId="28" xfId="0" applyFont="1" applyFill="1" applyBorder="1" applyAlignment="1">
      <alignment horizontal="center"/>
    </xf>
    <xf numFmtId="0" fontId="2" fillId="0" borderId="23" xfId="0" applyFont="1" applyBorder="1"/>
    <xf numFmtId="0" fontId="5" fillId="12" borderId="33" xfId="0" applyFont="1" applyFill="1" applyBorder="1" applyAlignment="1">
      <alignment horizontal="center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29" xfId="0" applyFont="1" applyBorder="1" applyAlignment="1">
      <alignment horizontal="left"/>
    </xf>
    <xf numFmtId="0" fontId="5" fillId="14" borderId="36" xfId="0" applyFont="1" applyFill="1" applyBorder="1" applyAlignment="1">
      <alignment horizontal="center"/>
    </xf>
    <xf numFmtId="165" fontId="2" fillId="0" borderId="37" xfId="0" applyNumberFormat="1" applyFont="1" applyBorder="1" applyAlignment="1" applyProtection="1">
      <alignment horizontal="center"/>
      <protection locked="0"/>
    </xf>
    <xf numFmtId="164" fontId="2" fillId="0" borderId="37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8" fillId="0" borderId="2" xfId="0" applyFont="1" applyBorder="1"/>
    <xf numFmtId="0" fontId="5" fillId="8" borderId="23" xfId="0" applyFont="1" applyFill="1" applyBorder="1" applyAlignment="1">
      <alignment horizontal="center"/>
    </xf>
    <xf numFmtId="0" fontId="13" fillId="0" borderId="23" xfId="0" applyFont="1" applyBorder="1" applyAlignment="1">
      <alignment horizontal="left"/>
    </xf>
    <xf numFmtId="0" fontId="2" fillId="8" borderId="23" xfId="0" applyFont="1" applyFill="1" applyBorder="1" applyAlignment="1" applyProtection="1">
      <alignment horizontal="left" vertical="center"/>
      <protection locked="0"/>
    </xf>
    <xf numFmtId="0" fontId="5" fillId="8" borderId="29" xfId="0" applyFont="1" applyFill="1" applyBorder="1" applyAlignment="1">
      <alignment horizontal="center"/>
    </xf>
    <xf numFmtId="0" fontId="13" fillId="0" borderId="29" xfId="0" applyFont="1" applyBorder="1" applyAlignment="1">
      <alignment horizontal="left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5" fillId="8" borderId="39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5" fillId="8" borderId="36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5" fillId="13" borderId="23" xfId="0" applyFont="1" applyFill="1" applyBorder="1" applyAlignment="1">
      <alignment horizontal="center"/>
    </xf>
    <xf numFmtId="0" fontId="5" fillId="0" borderId="3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9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9" borderId="39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2" fillId="0" borderId="39" xfId="0" applyFont="1" applyBorder="1" applyAlignment="1" applyProtection="1">
      <alignment horizontal="center" vertical="center"/>
      <protection locked="0"/>
    </xf>
    <xf numFmtId="165" fontId="2" fillId="0" borderId="39" xfId="0" applyNumberFormat="1" applyFont="1" applyBorder="1" applyAlignment="1" applyProtection="1">
      <alignment horizontal="center" vertical="center"/>
      <protection locked="0"/>
    </xf>
    <xf numFmtId="165" fontId="5" fillId="2" borderId="39" xfId="0" applyNumberFormat="1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center"/>
    </xf>
    <xf numFmtId="0" fontId="2" fillId="8" borderId="28" xfId="0" applyFont="1" applyFill="1" applyBorder="1" applyAlignment="1" applyProtection="1">
      <alignment horizontal="left" vertical="center"/>
      <protection locked="0"/>
    </xf>
    <xf numFmtId="164" fontId="2" fillId="0" borderId="38" xfId="0" applyNumberFormat="1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5" fillId="13" borderId="28" xfId="0" applyFont="1" applyFill="1" applyBorder="1" applyAlignment="1">
      <alignment horizontal="center"/>
    </xf>
    <xf numFmtId="0" fontId="2" fillId="8" borderId="5" xfId="0" applyFont="1" applyFill="1" applyBorder="1"/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7" xfId="0" applyFont="1" applyBorder="1" applyAlignment="1" applyProtection="1">
      <alignment horizontal="left" vertical="center"/>
      <protection locked="0"/>
    </xf>
    <xf numFmtId="0" fontId="33" fillId="8" borderId="0" xfId="0" applyFont="1" applyFill="1"/>
    <xf numFmtId="0" fontId="2" fillId="16" borderId="30" xfId="0" applyFont="1" applyFill="1" applyBorder="1" applyAlignment="1" applyProtection="1">
      <alignment horizontal="left" vertical="center"/>
      <protection locked="0"/>
    </xf>
    <xf numFmtId="0" fontId="16" fillId="16" borderId="2" xfId="0" applyFont="1" applyFill="1" applyBorder="1" applyAlignment="1" applyProtection="1">
      <alignment horizontal="left" vertical="center"/>
      <protection locked="0"/>
    </xf>
    <xf numFmtId="0" fontId="2" fillId="16" borderId="7" xfId="0" applyFont="1" applyFill="1" applyBorder="1" applyAlignment="1" applyProtection="1">
      <alignment horizontal="left" vertical="center"/>
      <protection locked="0"/>
    </xf>
    <xf numFmtId="0" fontId="2" fillId="16" borderId="12" xfId="0" applyFont="1" applyFill="1" applyBorder="1" applyAlignment="1" applyProtection="1">
      <alignment horizontal="left" vertical="center"/>
      <protection locked="0"/>
    </xf>
    <xf numFmtId="0" fontId="2" fillId="16" borderId="28" xfId="0" applyFont="1" applyFill="1" applyBorder="1" applyAlignment="1" applyProtection="1">
      <alignment horizontal="left" vertical="center"/>
      <protection locked="0"/>
    </xf>
    <xf numFmtId="0" fontId="2" fillId="16" borderId="42" xfId="0" applyFont="1" applyFill="1" applyBorder="1" applyAlignment="1" applyProtection="1">
      <alignment horizontal="left" vertical="center"/>
      <protection locked="0"/>
    </xf>
    <xf numFmtId="0" fontId="2" fillId="0" borderId="39" xfId="0" applyFont="1" applyBorder="1" applyAlignment="1">
      <alignment horizontal="left"/>
    </xf>
    <xf numFmtId="0" fontId="2" fillId="0" borderId="39" xfId="0" applyFont="1" applyBorder="1"/>
    <xf numFmtId="0" fontId="2" fillId="0" borderId="39" xfId="0" applyFont="1" applyBorder="1" applyAlignment="1" applyProtection="1">
      <alignment horizontal="center"/>
      <protection locked="0"/>
    </xf>
    <xf numFmtId="165" fontId="2" fillId="2" borderId="39" xfId="0" applyNumberFormat="1" applyFont="1" applyFill="1" applyBorder="1" applyAlignment="1" applyProtection="1">
      <alignment horizontal="center"/>
      <protection locked="0"/>
    </xf>
    <xf numFmtId="165" fontId="5" fillId="2" borderId="39" xfId="0" applyNumberFormat="1" applyFont="1" applyFill="1" applyBorder="1" applyAlignment="1">
      <alignment horizontal="center"/>
    </xf>
    <xf numFmtId="0" fontId="2" fillId="0" borderId="33" xfId="0" applyFont="1" applyBorder="1" applyAlignment="1" applyProtection="1">
      <alignment horizontal="left" vertical="center"/>
      <protection locked="0"/>
    </xf>
    <xf numFmtId="0" fontId="2" fillId="8" borderId="33" xfId="0" applyFont="1" applyFill="1" applyBorder="1" applyAlignment="1" applyProtection="1">
      <alignment horizontal="left" vertical="center"/>
      <protection locked="0"/>
    </xf>
    <xf numFmtId="0" fontId="2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11" borderId="28" xfId="0" applyFont="1" applyFill="1" applyBorder="1" applyAlignment="1">
      <alignment horizontal="center"/>
    </xf>
    <xf numFmtId="0" fontId="2" fillId="0" borderId="28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 vertical="center"/>
    </xf>
    <xf numFmtId="165" fontId="2" fillId="0" borderId="28" xfId="0" applyNumberFormat="1" applyFont="1" applyBorder="1" applyAlignment="1" applyProtection="1">
      <alignment horizontal="center" vertical="center"/>
      <protection locked="0"/>
    </xf>
    <xf numFmtId="165" fontId="5" fillId="2" borderId="28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vertical="center"/>
    </xf>
    <xf numFmtId="0" fontId="2" fillId="0" borderId="27" xfId="0" applyFont="1" applyBorder="1" applyAlignment="1">
      <alignment horizontal="left" vertical="center"/>
    </xf>
    <xf numFmtId="0" fontId="2" fillId="0" borderId="27" xfId="0" applyFont="1" applyBorder="1" applyAlignment="1">
      <alignment vertical="center"/>
    </xf>
    <xf numFmtId="0" fontId="5" fillId="12" borderId="27" xfId="0" applyFont="1" applyFill="1" applyBorder="1" applyAlignment="1">
      <alignment horizontal="center"/>
    </xf>
    <xf numFmtId="0" fontId="2" fillId="0" borderId="27" xfId="0" applyFont="1" applyBorder="1" applyAlignment="1" applyProtection="1">
      <alignment horizontal="center" vertical="center"/>
      <protection locked="0"/>
    </xf>
    <xf numFmtId="165" fontId="2" fillId="0" borderId="27" xfId="0" applyNumberFormat="1" applyFont="1" applyBorder="1" applyAlignment="1" applyProtection="1">
      <alignment horizontal="center" vertical="center"/>
      <protection locked="0"/>
    </xf>
    <xf numFmtId="165" fontId="5" fillId="2" borderId="27" xfId="0" applyNumberFormat="1" applyFont="1" applyFill="1" applyBorder="1" applyAlignment="1">
      <alignment horizontal="center" vertical="center"/>
    </xf>
    <xf numFmtId="164" fontId="2" fillId="0" borderId="43" xfId="0" applyNumberFormat="1" applyFont="1" applyBorder="1" applyAlignment="1">
      <alignment horizontal="center"/>
    </xf>
    <xf numFmtId="0" fontId="16" fillId="0" borderId="28" xfId="0" applyFont="1" applyBorder="1" applyAlignment="1">
      <alignment horizontal="left"/>
    </xf>
    <xf numFmtId="0" fontId="25" fillId="0" borderId="28" xfId="0" applyFont="1" applyBorder="1"/>
    <xf numFmtId="0" fontId="16" fillId="0" borderId="23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11" borderId="23" xfId="0" applyFont="1" applyFill="1" applyBorder="1" applyAlignment="1">
      <alignment horizontal="center"/>
    </xf>
    <xf numFmtId="0" fontId="5" fillId="8" borderId="28" xfId="0" applyFont="1" applyFill="1" applyBorder="1" applyAlignment="1">
      <alignment horizontal="center"/>
    </xf>
    <xf numFmtId="0" fontId="13" fillId="0" borderId="28" xfId="0" applyFont="1" applyBorder="1" applyAlignment="1">
      <alignment horizontal="left"/>
    </xf>
    <xf numFmtId="0" fontId="2" fillId="17" borderId="28" xfId="0" applyFont="1" applyFill="1" applyBorder="1" applyAlignment="1" applyProtection="1">
      <alignment horizontal="left" vertical="center"/>
      <protection locked="0"/>
    </xf>
    <xf numFmtId="0" fontId="2" fillId="17" borderId="7" xfId="0" applyFont="1" applyFill="1" applyBorder="1" applyAlignment="1" applyProtection="1">
      <alignment horizontal="left" vertical="center"/>
      <protection locked="0"/>
    </xf>
    <xf numFmtId="0" fontId="2" fillId="8" borderId="39" xfId="0" applyFont="1" applyFill="1" applyBorder="1" applyAlignment="1" applyProtection="1">
      <alignment horizontal="left" vertical="center"/>
      <protection locked="0"/>
    </xf>
    <xf numFmtId="0" fontId="2" fillId="0" borderId="28" xfId="0" applyFont="1" applyBorder="1" applyAlignment="1" applyProtection="1">
      <alignment horizontal="left" vertical="center"/>
      <protection locked="0"/>
    </xf>
    <xf numFmtId="0" fontId="2" fillId="8" borderId="42" xfId="0" applyFont="1" applyFill="1" applyBorder="1" applyAlignment="1" applyProtection="1">
      <alignment horizontal="left" vertical="center"/>
      <protection locked="0"/>
    </xf>
    <xf numFmtId="164" fontId="2" fillId="0" borderId="44" xfId="0" applyNumberFormat="1" applyFont="1" applyBorder="1" applyAlignment="1">
      <alignment horizontal="center"/>
    </xf>
    <xf numFmtId="0" fontId="26" fillId="0" borderId="45" xfId="0" applyFont="1" applyBorder="1"/>
    <xf numFmtId="0" fontId="28" fillId="8" borderId="2" xfId="0" applyFont="1" applyFill="1" applyBorder="1"/>
    <xf numFmtId="0" fontId="2" fillId="17" borderId="39" xfId="0" applyFont="1" applyFill="1" applyBorder="1" applyAlignment="1" applyProtection="1">
      <alignment horizontal="left" vertical="center"/>
      <protection locked="0"/>
    </xf>
    <xf numFmtId="0" fontId="2" fillId="17" borderId="2" xfId="0" applyFont="1" applyFill="1" applyBorder="1" applyAlignment="1" applyProtection="1">
      <alignment horizontal="left" vertical="center"/>
      <protection locked="0"/>
    </xf>
    <xf numFmtId="0" fontId="34" fillId="0" borderId="0" xfId="0" applyFont="1"/>
    <xf numFmtId="0" fontId="2" fillId="17" borderId="27" xfId="0" applyFont="1" applyFill="1" applyBorder="1" applyAlignment="1" applyProtection="1">
      <alignment horizontal="left" vertical="center"/>
      <protection locked="0"/>
    </xf>
    <xf numFmtId="0" fontId="2" fillId="9" borderId="27" xfId="0" applyFont="1" applyFill="1" applyBorder="1" applyAlignment="1" applyProtection="1">
      <alignment horizontal="left" vertical="center"/>
      <protection locked="0"/>
    </xf>
    <xf numFmtId="0" fontId="0" fillId="9" borderId="0" xfId="0" applyFill="1"/>
    <xf numFmtId="0" fontId="28" fillId="17" borderId="28" xfId="0" applyFont="1" applyFill="1" applyBorder="1"/>
    <xf numFmtId="0" fontId="28" fillId="8" borderId="33" xfId="0" applyFont="1" applyFill="1" applyBorder="1"/>
    <xf numFmtId="0" fontId="28" fillId="8" borderId="35" xfId="0" applyFont="1" applyFill="1" applyBorder="1"/>
    <xf numFmtId="0" fontId="28" fillId="8" borderId="28" xfId="0" applyFont="1" applyFill="1" applyBorder="1"/>
    <xf numFmtId="0" fontId="28" fillId="8" borderId="39" xfId="0" applyFont="1" applyFill="1" applyBorder="1"/>
    <xf numFmtId="0" fontId="28" fillId="17" borderId="39" xfId="0" applyFont="1" applyFill="1" applyBorder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20">
    <dxf>
      <fill>
        <patternFill>
          <bgColor indexed="10"/>
        </patternFill>
      </fill>
    </dxf>
    <dxf>
      <fill>
        <patternFill patternType="solid">
          <bgColor indexed="13"/>
        </patternFill>
      </fill>
    </dxf>
    <dxf>
      <fill>
        <patternFill>
          <bgColor indexed="11"/>
        </patternFill>
      </fill>
    </dxf>
    <dxf>
      <fill>
        <patternFill patternType="solid">
          <bgColor theme="9"/>
        </patternFill>
      </fill>
    </dxf>
    <dxf>
      <fill>
        <patternFill>
          <bgColor indexed="10"/>
        </patternFill>
      </fill>
    </dxf>
    <dxf>
      <fill>
        <patternFill patternType="solid"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 patternType="solid"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 patternType="solid"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 patternType="solid">
          <bgColor indexed="13"/>
        </patternFill>
      </fill>
    </dxf>
    <dxf>
      <fill>
        <patternFill>
          <bgColor indexed="11"/>
        </patternFill>
      </fill>
    </dxf>
    <dxf>
      <fill>
        <patternFill patternType="solid">
          <bgColor theme="9"/>
        </patternFill>
      </fill>
    </dxf>
    <dxf>
      <fill>
        <patternFill>
          <bgColor indexed="10"/>
        </patternFill>
      </fill>
    </dxf>
    <dxf>
      <fill>
        <patternFill patternType="solid">
          <bgColor indexed="13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0"/>
  <sheetViews>
    <sheetView showGridLines="0" tabSelected="1" zoomScale="85" zoomScaleNormal="85" zoomScaleSheetLayoutView="75" workbookViewId="0">
      <pane ySplit="4" topLeftCell="A5" activePane="bottomLeft" state="frozen"/>
      <selection pane="bottomLeft" activeCell="O171" sqref="O171"/>
    </sheetView>
  </sheetViews>
  <sheetFormatPr defaultColWidth="11.453125" defaultRowHeight="12.5" x14ac:dyDescent="0.25"/>
  <cols>
    <col min="1" max="1" width="4.453125" style="1" customWidth="1"/>
    <col min="2" max="2" width="11" style="1" customWidth="1"/>
    <col min="3" max="3" width="8.1796875" style="1" customWidth="1"/>
    <col min="4" max="4" width="20.1796875" style="1" customWidth="1"/>
    <col min="5" max="5" width="10.1796875" style="1" customWidth="1"/>
    <col min="6" max="6" width="13.54296875" style="1" customWidth="1"/>
    <col min="7" max="7" width="40.1796875" customWidth="1"/>
    <col min="8" max="8" width="8.81640625" customWidth="1"/>
    <col min="9" max="9" width="9.453125" customWidth="1"/>
    <col min="10" max="10" width="9.81640625" customWidth="1"/>
    <col min="11" max="11" width="9.54296875" customWidth="1"/>
    <col min="12" max="12" width="11" style="156" customWidth="1"/>
    <col min="13" max="13" width="11" customWidth="1"/>
    <col min="14" max="14" width="14.1796875" style="1" customWidth="1"/>
    <col min="15" max="15" width="112.81640625" style="138" bestFit="1" customWidth="1"/>
  </cols>
  <sheetData>
    <row r="1" spans="1:16" x14ac:dyDescent="0.25">
      <c r="A1" s="96"/>
      <c r="B1" s="96"/>
      <c r="C1" s="96"/>
      <c r="D1" s="96"/>
      <c r="E1" s="96"/>
      <c r="F1" s="96"/>
      <c r="G1" s="97"/>
      <c r="H1" s="97"/>
      <c r="I1" s="97"/>
      <c r="J1" s="97"/>
      <c r="K1" s="97"/>
      <c r="L1" s="149"/>
      <c r="M1" s="97"/>
      <c r="N1" s="96"/>
      <c r="O1" s="130"/>
    </row>
    <row r="2" spans="1:16" s="2" customFormat="1" ht="28.5" customHeight="1" x14ac:dyDescent="0.45">
      <c r="A2" s="366" t="s">
        <v>0</v>
      </c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8"/>
    </row>
    <row r="3" spans="1:16" s="2" customFormat="1" ht="16.5" customHeight="1" thickBot="1" x14ac:dyDescent="0.55000000000000004">
      <c r="A3" s="3"/>
      <c r="B3" s="3"/>
      <c r="C3" s="3"/>
      <c r="D3" s="8"/>
      <c r="E3" s="8"/>
      <c r="F3" s="8"/>
      <c r="G3" s="9"/>
      <c r="H3" s="9"/>
      <c r="I3" s="9"/>
      <c r="J3" s="8"/>
      <c r="K3" s="8"/>
      <c r="L3" s="150" t="s">
        <v>1</v>
      </c>
      <c r="M3" s="10"/>
      <c r="N3" s="10"/>
      <c r="O3" s="128" t="s">
        <v>2</v>
      </c>
    </row>
    <row r="4" spans="1:16" s="11" customFormat="1" ht="13.5" thickTop="1" x14ac:dyDescent="0.3">
      <c r="A4" s="47" t="s">
        <v>3</v>
      </c>
      <c r="B4" s="47" t="s">
        <v>4</v>
      </c>
      <c r="C4" s="49" t="s">
        <v>5</v>
      </c>
      <c r="D4" s="51" t="s">
        <v>6</v>
      </c>
      <c r="E4" s="52" t="s">
        <v>7</v>
      </c>
      <c r="F4" s="50" t="s">
        <v>8</v>
      </c>
      <c r="G4" s="51" t="s">
        <v>9</v>
      </c>
      <c r="H4" s="52" t="s">
        <v>10</v>
      </c>
      <c r="I4" s="52" t="s">
        <v>11</v>
      </c>
      <c r="J4" s="77" t="s">
        <v>12</v>
      </c>
      <c r="K4" s="52" t="s">
        <v>13</v>
      </c>
      <c r="L4" s="151" t="s">
        <v>14</v>
      </c>
      <c r="M4" s="52" t="s">
        <v>15</v>
      </c>
      <c r="N4" s="52" t="s">
        <v>16</v>
      </c>
      <c r="O4" s="129" t="s">
        <v>17</v>
      </c>
      <c r="P4" s="86"/>
    </row>
    <row r="5" spans="1:16" s="4" customFormat="1" ht="13" x14ac:dyDescent="0.3">
      <c r="A5" s="7">
        <v>1</v>
      </c>
      <c r="B5" s="40">
        <v>12014239</v>
      </c>
      <c r="C5" s="7">
        <v>54597</v>
      </c>
      <c r="D5" s="26" t="s">
        <v>18</v>
      </c>
      <c r="E5" s="26">
        <v>90249000</v>
      </c>
      <c r="F5" s="7">
        <v>502</v>
      </c>
      <c r="G5" s="26" t="s">
        <v>19</v>
      </c>
      <c r="H5" s="158" t="s">
        <v>20</v>
      </c>
      <c r="I5" s="40" t="s">
        <v>21</v>
      </c>
      <c r="J5" s="25" t="s">
        <v>22</v>
      </c>
      <c r="K5" s="7" t="s">
        <v>23</v>
      </c>
      <c r="L5" s="140">
        <v>45383</v>
      </c>
      <c r="M5" s="141">
        <f>L5+730</f>
        <v>46113</v>
      </c>
      <c r="N5" s="24" t="str">
        <f t="shared" ref="N5:N68" ca="1" si="0">IF((TODAY())&gt;M5,"Vencido",IF(M5-(TODAY())&lt;=30,"Sol. Cal. Urgen.",IF(M5-(TODAY())&lt;=120,"Sol. Cal.",IF(M5&gt;(TODAY())+120,"Em Uso"))))</f>
        <v>Vencido</v>
      </c>
      <c r="O5" s="347" t="s">
        <v>24</v>
      </c>
      <c r="P5" s="72"/>
    </row>
    <row r="6" spans="1:16" s="4" customFormat="1" ht="13" x14ac:dyDescent="0.3">
      <c r="A6" s="7">
        <v>2</v>
      </c>
      <c r="B6" s="40">
        <v>12014240</v>
      </c>
      <c r="C6" s="7">
        <v>59031</v>
      </c>
      <c r="D6" s="26" t="s">
        <v>18</v>
      </c>
      <c r="E6" s="26">
        <v>90249000</v>
      </c>
      <c r="F6" s="7">
        <v>520</v>
      </c>
      <c r="G6" s="26" t="s">
        <v>25</v>
      </c>
      <c r="H6" s="111" t="s">
        <v>26</v>
      </c>
      <c r="I6" s="40" t="s">
        <v>21</v>
      </c>
      <c r="J6" s="25" t="s">
        <v>22</v>
      </c>
      <c r="K6" s="7" t="s">
        <v>23</v>
      </c>
      <c r="L6" s="140">
        <v>45797</v>
      </c>
      <c r="M6" s="141">
        <f>L6+730+0</f>
        <v>46527</v>
      </c>
      <c r="N6" s="24" t="str">
        <f t="shared" ca="1" si="0"/>
        <v>Em Uso</v>
      </c>
      <c r="O6" s="165" t="s">
        <v>27</v>
      </c>
      <c r="P6" s="72"/>
    </row>
    <row r="7" spans="1:16" s="2" customFormat="1" ht="13" x14ac:dyDescent="0.3">
      <c r="A7" s="7">
        <v>3</v>
      </c>
      <c r="B7" s="40">
        <v>12014241</v>
      </c>
      <c r="C7" s="7">
        <v>59032</v>
      </c>
      <c r="D7" s="26" t="s">
        <v>18</v>
      </c>
      <c r="E7" s="26">
        <v>90249000</v>
      </c>
      <c r="F7" s="7">
        <v>538</v>
      </c>
      <c r="G7" s="26" t="s">
        <v>19</v>
      </c>
      <c r="H7" s="161" t="s">
        <v>28</v>
      </c>
      <c r="I7" s="40" t="s">
        <v>21</v>
      </c>
      <c r="J7" s="25" t="s">
        <v>22</v>
      </c>
      <c r="K7" s="7" t="s">
        <v>23</v>
      </c>
      <c r="L7" s="140">
        <v>45797</v>
      </c>
      <c r="M7" s="141">
        <f>IF(K7="12 meses",L7+365,IF(K7="24 meses",L7+730,IF(K7="36 meses",L7+1095)))</f>
        <v>46527</v>
      </c>
      <c r="N7" s="24" t="str">
        <f t="shared" ca="1" si="0"/>
        <v>Em Uso</v>
      </c>
      <c r="O7" s="165"/>
    </row>
    <row r="8" spans="1:16" s="2" customFormat="1" ht="13" x14ac:dyDescent="0.3">
      <c r="A8" s="7">
        <v>4</v>
      </c>
      <c r="B8" s="40">
        <v>12014242</v>
      </c>
      <c r="C8" s="7">
        <v>59033</v>
      </c>
      <c r="D8" s="26" t="s">
        <v>18</v>
      </c>
      <c r="E8" s="26">
        <v>90249000</v>
      </c>
      <c r="F8" s="7">
        <v>532</v>
      </c>
      <c r="G8" s="26" t="s">
        <v>19</v>
      </c>
      <c r="H8" s="116" t="s">
        <v>29</v>
      </c>
      <c r="I8" s="40" t="s">
        <v>21</v>
      </c>
      <c r="J8" s="25" t="s">
        <v>22</v>
      </c>
      <c r="K8" s="7" t="s">
        <v>23</v>
      </c>
      <c r="L8" s="140">
        <v>45408</v>
      </c>
      <c r="M8" s="141">
        <f>IF(K8="12 meses",L8+365,IF(K8="24 meses",L8+730,IF(K8="36 meses",L8+1095)))</f>
        <v>46138</v>
      </c>
      <c r="N8" s="24" t="str">
        <f t="shared" ca="1" si="0"/>
        <v>Vencido</v>
      </c>
      <c r="O8" s="347" t="s">
        <v>24</v>
      </c>
      <c r="P8" s="72"/>
    </row>
    <row r="9" spans="1:16" s="180" customFormat="1" ht="13.5" thickBot="1" x14ac:dyDescent="0.35">
      <c r="A9" s="7">
        <v>5</v>
      </c>
      <c r="B9" s="171">
        <v>12015970</v>
      </c>
      <c r="C9" s="170">
        <v>61805</v>
      </c>
      <c r="D9" s="172" t="s">
        <v>18</v>
      </c>
      <c r="E9" s="172">
        <v>90249000</v>
      </c>
      <c r="F9" s="170">
        <v>550</v>
      </c>
      <c r="G9" s="172" t="s">
        <v>19</v>
      </c>
      <c r="H9" s="173" t="s">
        <v>30</v>
      </c>
      <c r="I9" s="171" t="s">
        <v>21</v>
      </c>
      <c r="J9" s="174" t="s">
        <v>22</v>
      </c>
      <c r="K9" s="170" t="s">
        <v>23</v>
      </c>
      <c r="L9" s="175">
        <v>46012</v>
      </c>
      <c r="M9" s="176">
        <f>IF(K9="12 meses",L9+365,IF(K9="24 meses",L9+731,IF(K9="36 meses",L9+1095)))</f>
        <v>46743</v>
      </c>
      <c r="N9" s="24" t="str">
        <f t="shared" ca="1" si="0"/>
        <v>Em Uso</v>
      </c>
      <c r="O9" s="165"/>
      <c r="P9" s="179"/>
    </row>
    <row r="10" spans="1:16" s="4" customFormat="1" ht="13" x14ac:dyDescent="0.3">
      <c r="A10" s="7">
        <v>6</v>
      </c>
      <c r="B10" s="91">
        <v>12014243</v>
      </c>
      <c r="C10" s="18">
        <v>59034</v>
      </c>
      <c r="D10" s="27" t="s">
        <v>31</v>
      </c>
      <c r="E10" s="27">
        <v>90249000</v>
      </c>
      <c r="F10" s="18">
        <v>124</v>
      </c>
      <c r="G10" s="27" t="s">
        <v>32</v>
      </c>
      <c r="H10" s="103" t="s">
        <v>20</v>
      </c>
      <c r="I10" s="91" t="s">
        <v>21</v>
      </c>
      <c r="J10" s="92" t="s">
        <v>22</v>
      </c>
      <c r="K10" s="18" t="s">
        <v>23</v>
      </c>
      <c r="L10" s="143">
        <v>45411</v>
      </c>
      <c r="M10" s="144">
        <f>L10+730+0</f>
        <v>46141</v>
      </c>
      <c r="N10" s="24" t="str">
        <f t="shared" ca="1" si="0"/>
        <v>Vencido</v>
      </c>
      <c r="O10" s="347" t="s">
        <v>24</v>
      </c>
      <c r="P10" s="72"/>
    </row>
    <row r="11" spans="1:16" s="4" customFormat="1" ht="13" x14ac:dyDescent="0.3">
      <c r="A11" s="7">
        <v>7</v>
      </c>
      <c r="B11" s="40">
        <v>12014244</v>
      </c>
      <c r="C11" s="7">
        <v>59035</v>
      </c>
      <c r="D11" s="26" t="s">
        <v>31</v>
      </c>
      <c r="E11" s="26">
        <v>90249000</v>
      </c>
      <c r="F11" s="7">
        <v>131</v>
      </c>
      <c r="G11" s="26" t="s">
        <v>32</v>
      </c>
      <c r="H11" s="111" t="s">
        <v>26</v>
      </c>
      <c r="I11" s="40" t="s">
        <v>21</v>
      </c>
      <c r="J11" s="25" t="s">
        <v>22</v>
      </c>
      <c r="K11" s="7" t="s">
        <v>23</v>
      </c>
      <c r="L11" s="140">
        <v>45798</v>
      </c>
      <c r="M11" s="141">
        <f>L11+730+0</f>
        <v>46528</v>
      </c>
      <c r="N11" s="24" t="str">
        <f t="shared" ca="1" si="0"/>
        <v>Em Uso</v>
      </c>
      <c r="O11" s="165" t="s">
        <v>27</v>
      </c>
      <c r="P11" s="72"/>
    </row>
    <row r="12" spans="1:16" s="2" customFormat="1" ht="13" x14ac:dyDescent="0.3">
      <c r="A12" s="7">
        <v>8</v>
      </c>
      <c r="B12" s="40">
        <v>12014245</v>
      </c>
      <c r="C12" s="7">
        <v>59036</v>
      </c>
      <c r="D12" s="26" t="s">
        <v>31</v>
      </c>
      <c r="E12" s="26">
        <v>90249000</v>
      </c>
      <c r="F12" s="7">
        <v>134</v>
      </c>
      <c r="G12" s="26" t="s">
        <v>32</v>
      </c>
      <c r="H12" s="116" t="s">
        <v>29</v>
      </c>
      <c r="I12" s="40" t="s">
        <v>21</v>
      </c>
      <c r="J12" s="25" t="s">
        <v>22</v>
      </c>
      <c r="K12" s="7" t="s">
        <v>23</v>
      </c>
      <c r="L12" s="140">
        <v>45411</v>
      </c>
      <c r="M12" s="141">
        <f>IF(K12="12 meses",L12+365,IF(K12="24 meses",L12+730,IF(K12="36 meses",L12+1095)))</f>
        <v>46141</v>
      </c>
      <c r="N12" s="24" t="str">
        <f t="shared" ca="1" si="0"/>
        <v>Vencido</v>
      </c>
      <c r="O12" s="347" t="s">
        <v>24</v>
      </c>
      <c r="P12" s="72"/>
    </row>
    <row r="13" spans="1:16" s="2" customFormat="1" ht="13" x14ac:dyDescent="0.3">
      <c r="A13" s="7">
        <v>9</v>
      </c>
      <c r="B13" s="40">
        <v>12014246</v>
      </c>
      <c r="C13" s="7">
        <v>59037</v>
      </c>
      <c r="D13" s="26" t="s">
        <v>31</v>
      </c>
      <c r="E13" s="26">
        <v>90249000</v>
      </c>
      <c r="F13" s="7">
        <v>138</v>
      </c>
      <c r="G13" s="26" t="s">
        <v>32</v>
      </c>
      <c r="H13" s="161" t="s">
        <v>28</v>
      </c>
      <c r="I13" s="40" t="s">
        <v>21</v>
      </c>
      <c r="J13" s="25" t="s">
        <v>22</v>
      </c>
      <c r="K13" s="7" t="s">
        <v>23</v>
      </c>
      <c r="L13" s="140">
        <v>45798</v>
      </c>
      <c r="M13" s="141">
        <f>IF(K13="12 meses",L13+365,IF(K13="24 meses",L13+730,IF(K13="36 meses",L13+1095)))</f>
        <v>46528</v>
      </c>
      <c r="N13" s="24" t="str">
        <f t="shared" ca="1" si="0"/>
        <v>Em Uso</v>
      </c>
      <c r="O13" s="165"/>
    </row>
    <row r="14" spans="1:16" s="2" customFormat="1" ht="13" x14ac:dyDescent="0.3">
      <c r="A14" s="7">
        <v>10</v>
      </c>
      <c r="B14" s="40">
        <v>12015971</v>
      </c>
      <c r="C14" s="7">
        <v>61804</v>
      </c>
      <c r="D14" s="26" t="s">
        <v>31</v>
      </c>
      <c r="E14" s="26">
        <v>90249000</v>
      </c>
      <c r="F14" s="7">
        <v>156</v>
      </c>
      <c r="G14" s="26" t="s">
        <v>32</v>
      </c>
      <c r="H14" s="112" t="s">
        <v>30</v>
      </c>
      <c r="I14" s="40" t="s">
        <v>21</v>
      </c>
      <c r="J14" s="25" t="s">
        <v>22</v>
      </c>
      <c r="K14" s="7" t="s">
        <v>23</v>
      </c>
      <c r="L14" s="140">
        <v>46009</v>
      </c>
      <c r="M14" s="141">
        <f>IF(K14="12 meses",L14+365,IF(K14="24 meses",L14+731,IF(K14="36 meses",L14+1095)))</f>
        <v>46740</v>
      </c>
      <c r="N14" s="24" t="str">
        <f t="shared" ca="1" si="0"/>
        <v>Em Uso</v>
      </c>
      <c r="O14" s="165"/>
      <c r="P14" s="94"/>
    </row>
    <row r="15" spans="1:16" s="185" customFormat="1" ht="13.5" thickBot="1" x14ac:dyDescent="0.35">
      <c r="A15" s="7">
        <v>11</v>
      </c>
      <c r="B15" s="171">
        <v>12014247</v>
      </c>
      <c r="C15" s="170">
        <v>59038</v>
      </c>
      <c r="D15" s="172" t="s">
        <v>33</v>
      </c>
      <c r="E15" s="172">
        <v>90249000</v>
      </c>
      <c r="F15" s="170">
        <v>503</v>
      </c>
      <c r="G15" s="172" t="s">
        <v>34</v>
      </c>
      <c r="H15" s="182" t="s">
        <v>35</v>
      </c>
      <c r="I15" s="183" t="s">
        <v>36</v>
      </c>
      <c r="J15" s="174" t="s">
        <v>22</v>
      </c>
      <c r="K15" s="170" t="s">
        <v>23</v>
      </c>
      <c r="L15" s="175">
        <v>45408</v>
      </c>
      <c r="M15" s="176">
        <f>L15+730</f>
        <v>46138</v>
      </c>
      <c r="N15" s="24" t="str">
        <f t="shared" ca="1" si="0"/>
        <v>Vencido</v>
      </c>
      <c r="O15" s="347" t="s">
        <v>24</v>
      </c>
      <c r="P15" s="184"/>
    </row>
    <row r="16" spans="1:16" s="4" customFormat="1" ht="13" x14ac:dyDescent="0.3">
      <c r="A16" s="7">
        <v>12</v>
      </c>
      <c r="B16" s="91">
        <v>12014248</v>
      </c>
      <c r="C16" s="18">
        <v>59039</v>
      </c>
      <c r="D16" s="27" t="s">
        <v>37</v>
      </c>
      <c r="E16" s="27">
        <v>90249000</v>
      </c>
      <c r="F16" s="18">
        <v>13504</v>
      </c>
      <c r="G16" s="27" t="s">
        <v>38</v>
      </c>
      <c r="H16" s="103" t="s">
        <v>20</v>
      </c>
      <c r="I16" s="91" t="s">
        <v>21</v>
      </c>
      <c r="J16" s="92" t="s">
        <v>22</v>
      </c>
      <c r="K16" s="18" t="s">
        <v>23</v>
      </c>
      <c r="L16" s="181">
        <v>45408</v>
      </c>
      <c r="M16" s="144">
        <f>L16+730</f>
        <v>46138</v>
      </c>
      <c r="N16" s="24" t="str">
        <f t="shared" ca="1" si="0"/>
        <v>Vencido</v>
      </c>
      <c r="O16" s="347" t="s">
        <v>24</v>
      </c>
      <c r="P16" s="72"/>
    </row>
    <row r="17" spans="1:16" s="4" customFormat="1" ht="13" x14ac:dyDescent="0.3">
      <c r="A17" s="7">
        <v>13</v>
      </c>
      <c r="B17" s="40">
        <v>12014249</v>
      </c>
      <c r="C17" s="7">
        <v>59040</v>
      </c>
      <c r="D17" s="26" t="s">
        <v>37</v>
      </c>
      <c r="E17" s="26">
        <v>90249000</v>
      </c>
      <c r="F17" s="7" t="s">
        <v>39</v>
      </c>
      <c r="G17" s="26" t="s">
        <v>40</v>
      </c>
      <c r="H17" s="111" t="s">
        <v>26</v>
      </c>
      <c r="I17" s="40" t="s">
        <v>21</v>
      </c>
      <c r="J17" s="25" t="s">
        <v>22</v>
      </c>
      <c r="K17" s="7" t="s">
        <v>23</v>
      </c>
      <c r="L17" s="140">
        <v>45798</v>
      </c>
      <c r="M17" s="141">
        <f>L17+730</f>
        <v>46528</v>
      </c>
      <c r="N17" s="24" t="str">
        <f t="shared" ca="1" si="0"/>
        <v>Em Uso</v>
      </c>
      <c r="O17" s="165" t="s">
        <v>27</v>
      </c>
      <c r="P17" s="72"/>
    </row>
    <row r="18" spans="1:16" s="2" customFormat="1" ht="13" x14ac:dyDescent="0.3">
      <c r="A18" s="7">
        <v>14</v>
      </c>
      <c r="B18" s="40">
        <v>12014250</v>
      </c>
      <c r="C18" s="7">
        <v>59041</v>
      </c>
      <c r="D18" s="26" t="s">
        <v>37</v>
      </c>
      <c r="E18" s="26">
        <v>90249000</v>
      </c>
      <c r="F18" s="36" t="s">
        <v>41</v>
      </c>
      <c r="G18" s="26" t="s">
        <v>42</v>
      </c>
      <c r="H18" s="112" t="s">
        <v>30</v>
      </c>
      <c r="I18" s="40" t="s">
        <v>21</v>
      </c>
      <c r="J18" s="25" t="s">
        <v>22</v>
      </c>
      <c r="K18" s="7" t="s">
        <v>23</v>
      </c>
      <c r="L18" s="142">
        <v>46012</v>
      </c>
      <c r="M18" s="141">
        <f>IF(K18="12 meses",L18+364,IF(K18="24 meses",L18+731,IF(K18="36 meses",L18+1095)))</f>
        <v>46743</v>
      </c>
      <c r="N18" s="24" t="str">
        <f t="shared" ca="1" si="0"/>
        <v>Em Uso</v>
      </c>
      <c r="O18" s="165"/>
    </row>
    <row r="19" spans="1:16" s="180" customFormat="1" ht="13.5" thickBot="1" x14ac:dyDescent="0.35">
      <c r="A19" s="7">
        <v>15</v>
      </c>
      <c r="B19" s="171">
        <v>12014251</v>
      </c>
      <c r="C19" s="170">
        <v>59042</v>
      </c>
      <c r="D19" s="172" t="s">
        <v>37</v>
      </c>
      <c r="E19" s="172">
        <v>90249000</v>
      </c>
      <c r="F19" s="187" t="s">
        <v>43</v>
      </c>
      <c r="G19" s="172" t="s">
        <v>42</v>
      </c>
      <c r="H19" s="188" t="s">
        <v>29</v>
      </c>
      <c r="I19" s="171" t="s">
        <v>21</v>
      </c>
      <c r="J19" s="174" t="s">
        <v>22</v>
      </c>
      <c r="K19" s="170" t="s">
        <v>23</v>
      </c>
      <c r="L19" s="175">
        <v>45798</v>
      </c>
      <c r="M19" s="176">
        <f>IF(K19="12 meses",L19+365,IF(K19="24 meses",L19+730,IF(K19="36 meses",L19+1095)))</f>
        <v>46528</v>
      </c>
      <c r="N19" s="24" t="str">
        <f t="shared" ca="1" si="0"/>
        <v>Em Uso</v>
      </c>
      <c r="O19" s="165"/>
    </row>
    <row r="20" spans="1:16" s="5" customFormat="1" ht="13" x14ac:dyDescent="0.3">
      <c r="A20" s="7">
        <v>16</v>
      </c>
      <c r="B20" s="91">
        <v>12014252</v>
      </c>
      <c r="C20" s="18">
        <v>59043</v>
      </c>
      <c r="D20" s="27" t="s">
        <v>44</v>
      </c>
      <c r="E20" s="27">
        <v>90249000</v>
      </c>
      <c r="F20" s="18">
        <v>133</v>
      </c>
      <c r="G20" s="110" t="s">
        <v>45</v>
      </c>
      <c r="H20" s="111" t="s">
        <v>26</v>
      </c>
      <c r="I20" s="40" t="s">
        <v>21</v>
      </c>
      <c r="J20" s="92" t="s">
        <v>22</v>
      </c>
      <c r="K20" s="18" t="s">
        <v>23</v>
      </c>
      <c r="L20" s="143">
        <v>45798</v>
      </c>
      <c r="M20" s="144">
        <f>L20+730+0</f>
        <v>46528</v>
      </c>
      <c r="N20" s="24" t="str">
        <f t="shared" ca="1" si="0"/>
        <v>Em Uso</v>
      </c>
      <c r="O20" s="165"/>
      <c r="P20" s="72"/>
    </row>
    <row r="21" spans="1:16" s="2" customFormat="1" ht="13" x14ac:dyDescent="0.3">
      <c r="A21" s="7">
        <v>17</v>
      </c>
      <c r="B21" s="40">
        <v>12014253</v>
      </c>
      <c r="C21" s="7"/>
      <c r="D21" s="26" t="s">
        <v>44</v>
      </c>
      <c r="E21" s="26">
        <v>90249000</v>
      </c>
      <c r="F21" s="7">
        <v>169</v>
      </c>
      <c r="G21" s="29" t="s">
        <v>46</v>
      </c>
      <c r="H21" s="158" t="s">
        <v>20</v>
      </c>
      <c r="I21" s="40" t="s">
        <v>21</v>
      </c>
      <c r="J21" s="25" t="s">
        <v>22</v>
      </c>
      <c r="K21" s="7" t="s">
        <v>23</v>
      </c>
      <c r="L21" s="140">
        <v>46008</v>
      </c>
      <c r="M21" s="141">
        <f>IF(K21="12 meses",L21+365,IF(K21="24 meses",L21+731,IF(K21="36 meses",L21+1095)))</f>
        <v>46739</v>
      </c>
      <c r="N21" s="24" t="str">
        <f t="shared" ca="1" si="0"/>
        <v>Em Uso</v>
      </c>
      <c r="O21" s="355" t="s">
        <v>47</v>
      </c>
    </row>
    <row r="22" spans="1:16" s="2" customFormat="1" ht="13" x14ac:dyDescent="0.3">
      <c r="A22" s="7">
        <v>18</v>
      </c>
      <c r="B22" s="40">
        <v>12016003</v>
      </c>
      <c r="C22" s="7"/>
      <c r="D22" s="26" t="s">
        <v>44</v>
      </c>
      <c r="E22" s="26">
        <v>90249000</v>
      </c>
      <c r="F22" s="7">
        <v>170</v>
      </c>
      <c r="G22" s="29" t="s">
        <v>46</v>
      </c>
      <c r="H22" s="116" t="s">
        <v>29</v>
      </c>
      <c r="I22" s="40" t="s">
        <v>21</v>
      </c>
      <c r="J22" s="25" t="s">
        <v>22</v>
      </c>
      <c r="K22" s="7" t="s">
        <v>23</v>
      </c>
      <c r="L22" s="140">
        <v>45408</v>
      </c>
      <c r="M22" s="141">
        <f>L22+730</f>
        <v>46138</v>
      </c>
      <c r="N22" s="24" t="str">
        <f t="shared" ca="1" si="0"/>
        <v>Vencido</v>
      </c>
      <c r="O22" s="347" t="s">
        <v>24</v>
      </c>
      <c r="P22" s="94"/>
    </row>
    <row r="23" spans="1:16" s="2" customFormat="1" ht="13" x14ac:dyDescent="0.3">
      <c r="A23" s="7">
        <v>19</v>
      </c>
      <c r="B23" s="40">
        <v>12014254</v>
      </c>
      <c r="C23" s="7">
        <v>59044</v>
      </c>
      <c r="D23" s="26" t="s">
        <v>44</v>
      </c>
      <c r="E23" s="26">
        <v>90249000</v>
      </c>
      <c r="F23" s="7">
        <v>151</v>
      </c>
      <c r="G23" s="29" t="s">
        <v>46</v>
      </c>
      <c r="H23" s="112" t="s">
        <v>30</v>
      </c>
      <c r="I23" s="40" t="s">
        <v>21</v>
      </c>
      <c r="J23" s="25" t="s">
        <v>22</v>
      </c>
      <c r="K23" s="7" t="s">
        <v>23</v>
      </c>
      <c r="L23" s="140">
        <v>46008</v>
      </c>
      <c r="M23" s="141">
        <f>IF(K23="12 meses",L23+365,IF(K23="24 meses",L23+731,IF(K23="36 meses",L23+1095)))</f>
        <v>46739</v>
      </c>
      <c r="N23" s="24" t="str">
        <f t="shared" ca="1" si="0"/>
        <v>Em Uso</v>
      </c>
      <c r="O23" s="165"/>
    </row>
    <row r="24" spans="1:16" s="180" customFormat="1" ht="13.5" thickBot="1" x14ac:dyDescent="0.35">
      <c r="A24" s="7">
        <v>20</v>
      </c>
      <c r="B24" s="171">
        <v>12014255</v>
      </c>
      <c r="C24" s="170">
        <v>59045</v>
      </c>
      <c r="D24" s="172" t="s">
        <v>44</v>
      </c>
      <c r="E24" s="172">
        <v>90249000</v>
      </c>
      <c r="F24" s="170">
        <v>167</v>
      </c>
      <c r="G24" s="189" t="s">
        <v>46</v>
      </c>
      <c r="H24" s="190" t="s">
        <v>28</v>
      </c>
      <c r="I24" s="171" t="s">
        <v>21</v>
      </c>
      <c r="J24" s="174" t="s">
        <v>22</v>
      </c>
      <c r="K24" s="170" t="s">
        <v>23</v>
      </c>
      <c r="L24" s="175">
        <v>45798</v>
      </c>
      <c r="M24" s="176">
        <f>IF(K24="12 meses",L24+365,IF(K24="24 meses",L24+730,IF(K24="36 meses",L24+1095)))</f>
        <v>46528</v>
      </c>
      <c r="N24" s="24" t="str">
        <f t="shared" ca="1" si="0"/>
        <v>Em Uso</v>
      </c>
      <c r="O24" s="361"/>
    </row>
    <row r="25" spans="1:16" s="2" customFormat="1" ht="13" x14ac:dyDescent="0.3">
      <c r="A25" s="7">
        <v>21</v>
      </c>
      <c r="B25" s="91">
        <v>12014256</v>
      </c>
      <c r="C25" s="18">
        <v>59046</v>
      </c>
      <c r="D25" s="90" t="s">
        <v>48</v>
      </c>
      <c r="E25" s="27">
        <v>90249000</v>
      </c>
      <c r="F25" s="18" t="s">
        <v>49</v>
      </c>
      <c r="G25" s="127" t="s">
        <v>50</v>
      </c>
      <c r="H25" s="105" t="s">
        <v>29</v>
      </c>
      <c r="I25" s="91" t="s">
        <v>21</v>
      </c>
      <c r="J25" s="92" t="s">
        <v>22</v>
      </c>
      <c r="K25" s="18" t="s">
        <v>23</v>
      </c>
      <c r="L25" s="143">
        <v>45802</v>
      </c>
      <c r="M25" s="144">
        <f>L25+730+0</f>
        <v>46532</v>
      </c>
      <c r="N25" s="57" t="str">
        <f t="shared" ca="1" si="0"/>
        <v>Em Uso</v>
      </c>
      <c r="O25" s="165"/>
    </row>
    <row r="26" spans="1:16" s="5" customFormat="1" ht="13" x14ac:dyDescent="0.3">
      <c r="A26" s="7">
        <v>22</v>
      </c>
      <c r="B26" s="40">
        <v>12014257</v>
      </c>
      <c r="C26" s="14">
        <v>59047</v>
      </c>
      <c r="D26" s="56" t="s">
        <v>48</v>
      </c>
      <c r="E26" s="26">
        <v>90249000</v>
      </c>
      <c r="F26" s="14" t="s">
        <v>51</v>
      </c>
      <c r="G26" s="30" t="s">
        <v>52</v>
      </c>
      <c r="H26" s="111" t="s">
        <v>26</v>
      </c>
      <c r="I26" s="40" t="s">
        <v>21</v>
      </c>
      <c r="J26" s="31" t="s">
        <v>22</v>
      </c>
      <c r="K26" s="7" t="s">
        <v>23</v>
      </c>
      <c r="L26" s="140">
        <v>45984</v>
      </c>
      <c r="M26" s="141">
        <f>L26+731</f>
        <v>46715</v>
      </c>
      <c r="N26" s="57" t="str">
        <f t="shared" ca="1" si="0"/>
        <v>Em Uso</v>
      </c>
      <c r="O26" s="348" t="s">
        <v>53</v>
      </c>
      <c r="P26" s="72"/>
    </row>
    <row r="27" spans="1:16" s="180" customFormat="1" ht="13.5" thickBot="1" x14ac:dyDescent="0.35">
      <c r="A27" s="7">
        <v>23</v>
      </c>
      <c r="B27" s="171">
        <v>12020838</v>
      </c>
      <c r="C27" s="170"/>
      <c r="D27" s="191" t="s">
        <v>48</v>
      </c>
      <c r="E27" s="172">
        <v>90249000</v>
      </c>
      <c r="F27" s="170" t="s">
        <v>54</v>
      </c>
      <c r="G27" s="192" t="s">
        <v>50</v>
      </c>
      <c r="H27" s="193" t="s">
        <v>20</v>
      </c>
      <c r="I27" s="171" t="s">
        <v>21</v>
      </c>
      <c r="J27" s="174" t="s">
        <v>22</v>
      </c>
      <c r="K27" s="170" t="s">
        <v>23</v>
      </c>
      <c r="L27" s="175">
        <v>45380</v>
      </c>
      <c r="M27" s="176">
        <f>L27+730</f>
        <v>46110</v>
      </c>
      <c r="N27" s="57" t="str">
        <f t="shared" ca="1" si="0"/>
        <v>Vencido</v>
      </c>
      <c r="O27" s="347" t="s">
        <v>24</v>
      </c>
    </row>
    <row r="28" spans="1:16" s="2" customFormat="1" ht="13" x14ac:dyDescent="0.3">
      <c r="A28" s="7">
        <v>24</v>
      </c>
      <c r="B28" s="91">
        <v>12014169</v>
      </c>
      <c r="C28" s="18">
        <v>59048</v>
      </c>
      <c r="D28" s="90">
        <v>70000200</v>
      </c>
      <c r="E28" s="27">
        <v>90318099</v>
      </c>
      <c r="F28" s="18">
        <v>40530</v>
      </c>
      <c r="G28" s="27" t="s">
        <v>55</v>
      </c>
      <c r="H28" s="106" t="s">
        <v>30</v>
      </c>
      <c r="I28" s="91" t="s">
        <v>21</v>
      </c>
      <c r="J28" s="92" t="s">
        <v>56</v>
      </c>
      <c r="K28" s="18" t="s">
        <v>23</v>
      </c>
      <c r="L28" s="143">
        <v>46041</v>
      </c>
      <c r="M28" s="144">
        <f>IF(K28="12 meses",L28+364,IF(K28="24 meses",L28+731,IF(K28="36 meses",L28+1095)))</f>
        <v>46772</v>
      </c>
      <c r="N28" s="57" t="str">
        <f t="shared" ca="1" si="0"/>
        <v>Em Uso</v>
      </c>
      <c r="O28" s="362"/>
    </row>
    <row r="29" spans="1:16" s="2" customFormat="1" ht="13" x14ac:dyDescent="0.3">
      <c r="A29" s="7">
        <v>25</v>
      </c>
      <c r="B29" s="40">
        <v>12014169</v>
      </c>
      <c r="C29" s="7">
        <v>59048</v>
      </c>
      <c r="D29" s="56">
        <v>70000201</v>
      </c>
      <c r="E29" s="26">
        <v>90318099</v>
      </c>
      <c r="F29" s="7">
        <v>40002</v>
      </c>
      <c r="G29" s="26" t="s">
        <v>57</v>
      </c>
      <c r="H29" s="112" t="s">
        <v>30</v>
      </c>
      <c r="I29" s="40" t="s">
        <v>21</v>
      </c>
      <c r="J29" s="25" t="s">
        <v>56</v>
      </c>
      <c r="K29" s="7" t="s">
        <v>23</v>
      </c>
      <c r="L29" s="140">
        <v>46041</v>
      </c>
      <c r="M29" s="141">
        <f t="shared" ref="M29:M47" si="1">IF(K29="12 meses",L29+365,IF(K29="24 meses",L29+730,IF(K29="36 meses",L29+1095)))</f>
        <v>46771</v>
      </c>
      <c r="N29" s="57" t="str">
        <f t="shared" ca="1" si="0"/>
        <v>Em Uso</v>
      </c>
      <c r="O29" s="361"/>
    </row>
    <row r="30" spans="1:16" s="2" customFormat="1" ht="13" x14ac:dyDescent="0.3">
      <c r="A30" s="7">
        <v>26</v>
      </c>
      <c r="B30" s="40">
        <v>12014169</v>
      </c>
      <c r="C30" s="7">
        <v>59048</v>
      </c>
      <c r="D30" s="56">
        <v>70000202</v>
      </c>
      <c r="E30" s="26">
        <v>90318099</v>
      </c>
      <c r="F30" s="7">
        <v>40518</v>
      </c>
      <c r="G30" s="26" t="s">
        <v>58</v>
      </c>
      <c r="H30" s="112" t="s">
        <v>30</v>
      </c>
      <c r="I30" s="40" t="s">
        <v>21</v>
      </c>
      <c r="J30" s="25" t="s">
        <v>56</v>
      </c>
      <c r="K30" s="7" t="s">
        <v>23</v>
      </c>
      <c r="L30" s="140">
        <v>46041</v>
      </c>
      <c r="M30" s="141">
        <f t="shared" si="1"/>
        <v>46771</v>
      </c>
      <c r="N30" s="57" t="str">
        <f t="shared" ca="1" si="0"/>
        <v>Em Uso</v>
      </c>
      <c r="O30" s="361"/>
    </row>
    <row r="31" spans="1:16" s="2" customFormat="1" ht="13" x14ac:dyDescent="0.3">
      <c r="A31" s="7">
        <v>27</v>
      </c>
      <c r="B31" s="40">
        <v>12014169</v>
      </c>
      <c r="C31" s="7">
        <v>59048</v>
      </c>
      <c r="D31" s="56">
        <v>70000204</v>
      </c>
      <c r="E31" s="26">
        <v>90318099</v>
      </c>
      <c r="F31" s="7">
        <v>30219</v>
      </c>
      <c r="G31" s="26" t="s">
        <v>59</v>
      </c>
      <c r="H31" s="112" t="s">
        <v>30</v>
      </c>
      <c r="I31" s="40" t="s">
        <v>21</v>
      </c>
      <c r="J31" s="25" t="s">
        <v>56</v>
      </c>
      <c r="K31" s="7" t="s">
        <v>23</v>
      </c>
      <c r="L31" s="140">
        <v>46041</v>
      </c>
      <c r="M31" s="141">
        <f t="shared" si="1"/>
        <v>46771</v>
      </c>
      <c r="N31" s="57" t="str">
        <f t="shared" ca="1" si="0"/>
        <v>Em Uso</v>
      </c>
      <c r="O31" s="361"/>
    </row>
    <row r="32" spans="1:16" s="2" customFormat="1" ht="13" x14ac:dyDescent="0.3">
      <c r="A32" s="7">
        <v>28</v>
      </c>
      <c r="B32" s="40">
        <v>12014169</v>
      </c>
      <c r="C32" s="7">
        <v>59048</v>
      </c>
      <c r="D32" s="56">
        <v>70000204</v>
      </c>
      <c r="E32" s="26">
        <v>90318099</v>
      </c>
      <c r="F32" s="7"/>
      <c r="G32" s="26" t="s">
        <v>60</v>
      </c>
      <c r="H32" s="112" t="s">
        <v>30</v>
      </c>
      <c r="I32" s="40" t="s">
        <v>21</v>
      </c>
      <c r="J32" s="25" t="s">
        <v>56</v>
      </c>
      <c r="K32" s="7" t="s">
        <v>23</v>
      </c>
      <c r="L32" s="140">
        <v>46041</v>
      </c>
      <c r="M32" s="141">
        <f t="shared" si="1"/>
        <v>46771</v>
      </c>
      <c r="N32" s="24" t="str">
        <f t="shared" ca="1" si="0"/>
        <v>Em Uso</v>
      </c>
      <c r="O32" s="361"/>
    </row>
    <row r="33" spans="1:16" s="2" customFormat="1" ht="13" x14ac:dyDescent="0.3">
      <c r="A33" s="7">
        <v>29</v>
      </c>
      <c r="B33" s="40">
        <v>12014169</v>
      </c>
      <c r="C33" s="7">
        <v>59048</v>
      </c>
      <c r="D33" s="56">
        <v>70000205</v>
      </c>
      <c r="E33" s="26">
        <v>90318099</v>
      </c>
      <c r="F33" s="7">
        <v>50376</v>
      </c>
      <c r="G33" s="26" t="s">
        <v>61</v>
      </c>
      <c r="H33" s="112" t="s">
        <v>30</v>
      </c>
      <c r="I33" s="40" t="s">
        <v>21</v>
      </c>
      <c r="J33" s="25" t="s">
        <v>56</v>
      </c>
      <c r="K33" s="7" t="s">
        <v>23</v>
      </c>
      <c r="L33" s="140">
        <v>46041</v>
      </c>
      <c r="M33" s="141">
        <f t="shared" si="1"/>
        <v>46771</v>
      </c>
      <c r="N33" s="57" t="str">
        <f t="shared" ca="1" si="0"/>
        <v>Em Uso</v>
      </c>
      <c r="O33" s="361"/>
    </row>
    <row r="34" spans="1:16" s="2" customFormat="1" ht="13" x14ac:dyDescent="0.3">
      <c r="A34" s="7">
        <v>30</v>
      </c>
      <c r="B34" s="40">
        <v>12014169</v>
      </c>
      <c r="C34" s="7">
        <v>59048</v>
      </c>
      <c r="D34" s="56">
        <v>70000208</v>
      </c>
      <c r="E34" s="26">
        <v>90318099</v>
      </c>
      <c r="F34" s="7">
        <v>30703</v>
      </c>
      <c r="G34" s="26" t="s">
        <v>62</v>
      </c>
      <c r="H34" s="112" t="s">
        <v>30</v>
      </c>
      <c r="I34" s="40" t="s">
        <v>21</v>
      </c>
      <c r="J34" s="25" t="s">
        <v>56</v>
      </c>
      <c r="K34" s="7" t="s">
        <v>23</v>
      </c>
      <c r="L34" s="140">
        <v>46041</v>
      </c>
      <c r="M34" s="141">
        <f t="shared" si="1"/>
        <v>46771</v>
      </c>
      <c r="N34" s="57" t="str">
        <f t="shared" ca="1" si="0"/>
        <v>Em Uso</v>
      </c>
      <c r="O34" s="361"/>
    </row>
    <row r="35" spans="1:16" s="2" customFormat="1" ht="13" x14ac:dyDescent="0.3">
      <c r="A35" s="7">
        <v>31</v>
      </c>
      <c r="B35" s="40">
        <v>12014169</v>
      </c>
      <c r="C35" s="7">
        <v>59048</v>
      </c>
      <c r="D35" s="56">
        <v>70000205</v>
      </c>
      <c r="E35" s="26">
        <v>90318099</v>
      </c>
      <c r="F35" s="7">
        <v>5029</v>
      </c>
      <c r="G35" s="26" t="s">
        <v>63</v>
      </c>
      <c r="H35" s="112" t="s">
        <v>30</v>
      </c>
      <c r="I35" s="40" t="s">
        <v>21</v>
      </c>
      <c r="J35" s="25" t="s">
        <v>56</v>
      </c>
      <c r="K35" s="7" t="s">
        <v>23</v>
      </c>
      <c r="L35" s="140">
        <v>46041</v>
      </c>
      <c r="M35" s="141">
        <f t="shared" si="1"/>
        <v>46771</v>
      </c>
      <c r="N35" s="57" t="str">
        <f t="shared" ca="1" si="0"/>
        <v>Em Uso</v>
      </c>
      <c r="O35" s="361"/>
    </row>
    <row r="36" spans="1:16" s="2" customFormat="1" ht="13" x14ac:dyDescent="0.3">
      <c r="A36" s="7">
        <v>32</v>
      </c>
      <c r="B36" s="40">
        <v>12014169</v>
      </c>
      <c r="C36" s="7">
        <v>59048</v>
      </c>
      <c r="D36" s="56"/>
      <c r="E36" s="26">
        <v>90318099</v>
      </c>
      <c r="F36" s="7">
        <v>173625</v>
      </c>
      <c r="G36" s="26" t="s">
        <v>64</v>
      </c>
      <c r="H36" s="112" t="s">
        <v>30</v>
      </c>
      <c r="I36" s="40" t="s">
        <v>21</v>
      </c>
      <c r="J36" s="25" t="s">
        <v>56</v>
      </c>
      <c r="K36" s="7" t="s">
        <v>23</v>
      </c>
      <c r="L36" s="140">
        <v>46041</v>
      </c>
      <c r="M36" s="141">
        <f t="shared" si="1"/>
        <v>46771</v>
      </c>
      <c r="N36" s="57" t="str">
        <f t="shared" ca="1" si="0"/>
        <v>Em Uso</v>
      </c>
      <c r="O36" s="361"/>
    </row>
    <row r="37" spans="1:16" s="180" customFormat="1" ht="13.5" thickBot="1" x14ac:dyDescent="0.35">
      <c r="A37" s="7">
        <v>33</v>
      </c>
      <c r="B37" s="171">
        <v>12014169</v>
      </c>
      <c r="C37" s="170">
        <v>59048</v>
      </c>
      <c r="D37" s="191"/>
      <c r="E37" s="172">
        <v>90318099</v>
      </c>
      <c r="F37" s="170">
        <v>171195</v>
      </c>
      <c r="G37" s="172" t="s">
        <v>65</v>
      </c>
      <c r="H37" s="173" t="s">
        <v>30</v>
      </c>
      <c r="I37" s="171" t="s">
        <v>21</v>
      </c>
      <c r="J37" s="174" t="s">
        <v>56</v>
      </c>
      <c r="K37" s="170" t="s">
        <v>23</v>
      </c>
      <c r="L37" s="175">
        <v>46041</v>
      </c>
      <c r="M37" s="176">
        <f t="shared" si="1"/>
        <v>46771</v>
      </c>
      <c r="N37" s="57" t="str">
        <f t="shared" ca="1" si="0"/>
        <v>Em Uso</v>
      </c>
      <c r="O37" s="361"/>
    </row>
    <row r="38" spans="1:16" s="5" customFormat="1" ht="14.5" x14ac:dyDescent="0.35">
      <c r="A38" s="7">
        <v>34</v>
      </c>
      <c r="B38" s="91">
        <v>12014170</v>
      </c>
      <c r="C38" s="18">
        <v>59049</v>
      </c>
      <c r="D38" s="90"/>
      <c r="E38" s="27">
        <v>90318099</v>
      </c>
      <c r="F38" s="18" t="s">
        <v>66</v>
      </c>
      <c r="G38" s="27" t="s">
        <v>55</v>
      </c>
      <c r="H38" s="105" t="s">
        <v>29</v>
      </c>
      <c r="I38" s="91" t="s">
        <v>21</v>
      </c>
      <c r="J38" s="92" t="s">
        <v>56</v>
      </c>
      <c r="K38" s="18" t="s">
        <v>23</v>
      </c>
      <c r="L38" s="143">
        <v>45470</v>
      </c>
      <c r="M38" s="195">
        <f t="shared" si="1"/>
        <v>46200</v>
      </c>
      <c r="N38" s="24" t="str">
        <f t="shared" ca="1" si="0"/>
        <v>Vencido</v>
      </c>
      <c r="O38" s="346" t="s">
        <v>387</v>
      </c>
      <c r="P38" s="117"/>
    </row>
    <row r="39" spans="1:16" s="5" customFormat="1" ht="14.5" x14ac:dyDescent="0.35">
      <c r="A39" s="7">
        <v>35</v>
      </c>
      <c r="B39" s="40">
        <v>12014170</v>
      </c>
      <c r="C39" s="7">
        <v>59049</v>
      </c>
      <c r="D39" s="56">
        <v>70000201</v>
      </c>
      <c r="E39" s="26">
        <v>90318099</v>
      </c>
      <c r="F39" s="7" t="s">
        <v>66</v>
      </c>
      <c r="G39" s="26" t="s">
        <v>57</v>
      </c>
      <c r="H39" s="116" t="s">
        <v>29</v>
      </c>
      <c r="I39" s="40" t="s">
        <v>21</v>
      </c>
      <c r="J39" s="25" t="s">
        <v>56</v>
      </c>
      <c r="K39" s="7" t="s">
        <v>23</v>
      </c>
      <c r="L39" s="140">
        <v>45470</v>
      </c>
      <c r="M39" s="166">
        <f t="shared" si="1"/>
        <v>46200</v>
      </c>
      <c r="N39" s="24" t="str">
        <f t="shared" ca="1" si="0"/>
        <v>Vencido</v>
      </c>
      <c r="O39" s="346" t="s">
        <v>387</v>
      </c>
      <c r="P39" s="117"/>
    </row>
    <row r="40" spans="1:16" s="5" customFormat="1" ht="14.5" x14ac:dyDescent="0.35">
      <c r="A40" s="7">
        <v>36</v>
      </c>
      <c r="B40" s="40">
        <v>12014170</v>
      </c>
      <c r="C40" s="7">
        <v>59049</v>
      </c>
      <c r="D40" s="56">
        <v>70000202</v>
      </c>
      <c r="E40" s="26">
        <v>90318099</v>
      </c>
      <c r="F40" s="7" t="s">
        <v>66</v>
      </c>
      <c r="G40" s="26" t="s">
        <v>58</v>
      </c>
      <c r="H40" s="116" t="s">
        <v>29</v>
      </c>
      <c r="I40" s="40" t="s">
        <v>21</v>
      </c>
      <c r="J40" s="25" t="s">
        <v>56</v>
      </c>
      <c r="K40" s="7" t="s">
        <v>23</v>
      </c>
      <c r="L40" s="140">
        <v>45470</v>
      </c>
      <c r="M40" s="166">
        <f t="shared" si="1"/>
        <v>46200</v>
      </c>
      <c r="N40" s="24" t="str">
        <f t="shared" ca="1" si="0"/>
        <v>Vencido</v>
      </c>
      <c r="O40" s="346" t="s">
        <v>387</v>
      </c>
      <c r="P40" s="117"/>
    </row>
    <row r="41" spans="1:16" s="5" customFormat="1" ht="14.5" x14ac:dyDescent="0.35">
      <c r="A41" s="7">
        <v>37</v>
      </c>
      <c r="B41" s="40">
        <v>12014170</v>
      </c>
      <c r="C41" s="7">
        <v>59049</v>
      </c>
      <c r="D41" s="56">
        <v>70000204</v>
      </c>
      <c r="E41" s="26">
        <v>90318099</v>
      </c>
      <c r="F41" s="7" t="s">
        <v>66</v>
      </c>
      <c r="G41" s="26" t="s">
        <v>59</v>
      </c>
      <c r="H41" s="116" t="s">
        <v>29</v>
      </c>
      <c r="I41" s="40" t="s">
        <v>21</v>
      </c>
      <c r="J41" s="25" t="s">
        <v>56</v>
      </c>
      <c r="K41" s="7" t="s">
        <v>23</v>
      </c>
      <c r="L41" s="140">
        <v>45470</v>
      </c>
      <c r="M41" s="166">
        <f t="shared" si="1"/>
        <v>46200</v>
      </c>
      <c r="N41" s="24" t="str">
        <f t="shared" ca="1" si="0"/>
        <v>Vencido</v>
      </c>
      <c r="O41" s="346" t="s">
        <v>387</v>
      </c>
      <c r="P41" s="117"/>
    </row>
    <row r="42" spans="1:16" s="5" customFormat="1" ht="14.5" x14ac:dyDescent="0.35">
      <c r="A42" s="7">
        <v>38</v>
      </c>
      <c r="B42" s="40">
        <v>12014170</v>
      </c>
      <c r="C42" s="7">
        <v>59049</v>
      </c>
      <c r="D42" s="56">
        <v>70000204</v>
      </c>
      <c r="E42" s="26">
        <v>90318099</v>
      </c>
      <c r="F42" s="7"/>
      <c r="G42" s="26" t="s">
        <v>60</v>
      </c>
      <c r="H42" s="116" t="s">
        <v>29</v>
      </c>
      <c r="I42" s="40" t="s">
        <v>21</v>
      </c>
      <c r="J42" s="25" t="s">
        <v>56</v>
      </c>
      <c r="K42" s="7" t="s">
        <v>23</v>
      </c>
      <c r="L42" s="140">
        <v>45470</v>
      </c>
      <c r="M42" s="166">
        <f t="shared" si="1"/>
        <v>46200</v>
      </c>
      <c r="N42" s="24" t="str">
        <f t="shared" ca="1" si="0"/>
        <v>Vencido</v>
      </c>
      <c r="O42" s="346" t="s">
        <v>387</v>
      </c>
      <c r="P42" s="117"/>
    </row>
    <row r="43" spans="1:16" s="5" customFormat="1" ht="14.5" x14ac:dyDescent="0.35">
      <c r="A43" s="7">
        <v>39</v>
      </c>
      <c r="B43" s="40">
        <v>12014170</v>
      </c>
      <c r="C43" s="7">
        <v>59049</v>
      </c>
      <c r="D43" s="56">
        <v>70000205</v>
      </c>
      <c r="E43" s="26">
        <v>90318099</v>
      </c>
      <c r="F43" s="7" t="s">
        <v>66</v>
      </c>
      <c r="G43" s="26" t="s">
        <v>61</v>
      </c>
      <c r="H43" s="116" t="s">
        <v>29</v>
      </c>
      <c r="I43" s="40" t="s">
        <v>21</v>
      </c>
      <c r="J43" s="25" t="s">
        <v>56</v>
      </c>
      <c r="K43" s="7" t="s">
        <v>23</v>
      </c>
      <c r="L43" s="140">
        <v>45470</v>
      </c>
      <c r="M43" s="166">
        <f t="shared" si="1"/>
        <v>46200</v>
      </c>
      <c r="N43" s="24" t="str">
        <f t="shared" ca="1" si="0"/>
        <v>Vencido</v>
      </c>
      <c r="O43" s="346" t="s">
        <v>387</v>
      </c>
      <c r="P43" s="117"/>
    </row>
    <row r="44" spans="1:16" s="5" customFormat="1" ht="14.5" x14ac:dyDescent="0.35">
      <c r="A44" s="7">
        <v>40</v>
      </c>
      <c r="B44" s="40">
        <v>12014170</v>
      </c>
      <c r="C44" s="7">
        <v>59049</v>
      </c>
      <c r="D44" s="56">
        <v>70000208</v>
      </c>
      <c r="E44" s="26">
        <v>90318099</v>
      </c>
      <c r="F44" s="7" t="s">
        <v>66</v>
      </c>
      <c r="G44" s="26" t="s">
        <v>62</v>
      </c>
      <c r="H44" s="116" t="s">
        <v>29</v>
      </c>
      <c r="I44" s="40" t="s">
        <v>21</v>
      </c>
      <c r="J44" s="25" t="s">
        <v>56</v>
      </c>
      <c r="K44" s="7" t="s">
        <v>23</v>
      </c>
      <c r="L44" s="140">
        <v>45470</v>
      </c>
      <c r="M44" s="166">
        <f t="shared" si="1"/>
        <v>46200</v>
      </c>
      <c r="N44" s="24" t="str">
        <f t="shared" ca="1" si="0"/>
        <v>Vencido</v>
      </c>
      <c r="O44" s="346" t="s">
        <v>387</v>
      </c>
      <c r="P44" s="117"/>
    </row>
    <row r="45" spans="1:16" s="5" customFormat="1" ht="14.5" x14ac:dyDescent="0.35">
      <c r="A45" s="7">
        <v>41</v>
      </c>
      <c r="B45" s="40">
        <v>12014170</v>
      </c>
      <c r="C45" s="7">
        <v>59049</v>
      </c>
      <c r="D45" s="56">
        <v>70000210</v>
      </c>
      <c r="E45" s="26">
        <v>90318099</v>
      </c>
      <c r="F45" s="7" t="s">
        <v>66</v>
      </c>
      <c r="G45" s="26" t="s">
        <v>63</v>
      </c>
      <c r="H45" s="116" t="s">
        <v>29</v>
      </c>
      <c r="I45" s="40" t="s">
        <v>21</v>
      </c>
      <c r="J45" s="25" t="s">
        <v>56</v>
      </c>
      <c r="K45" s="7" t="s">
        <v>23</v>
      </c>
      <c r="L45" s="140">
        <v>45470</v>
      </c>
      <c r="M45" s="166">
        <f t="shared" si="1"/>
        <v>46200</v>
      </c>
      <c r="N45" s="24" t="str">
        <f t="shared" ca="1" si="0"/>
        <v>Vencido</v>
      </c>
      <c r="O45" s="346" t="s">
        <v>387</v>
      </c>
      <c r="P45" s="117"/>
    </row>
    <row r="46" spans="1:16" s="5" customFormat="1" ht="14.5" x14ac:dyDescent="0.35">
      <c r="A46" s="7">
        <v>42</v>
      </c>
      <c r="B46" s="40">
        <v>12014170</v>
      </c>
      <c r="C46" s="7">
        <v>59049</v>
      </c>
      <c r="D46" s="56">
        <v>70000211</v>
      </c>
      <c r="E46" s="26">
        <v>90318099</v>
      </c>
      <c r="F46" s="7" t="s">
        <v>66</v>
      </c>
      <c r="G46" s="26" t="s">
        <v>64</v>
      </c>
      <c r="H46" s="116" t="s">
        <v>29</v>
      </c>
      <c r="I46" s="40" t="s">
        <v>21</v>
      </c>
      <c r="J46" s="25" t="s">
        <v>56</v>
      </c>
      <c r="K46" s="7" t="s">
        <v>23</v>
      </c>
      <c r="L46" s="140">
        <v>45470</v>
      </c>
      <c r="M46" s="166">
        <f t="shared" si="1"/>
        <v>46200</v>
      </c>
      <c r="N46" s="24" t="str">
        <f t="shared" ca="1" si="0"/>
        <v>Vencido</v>
      </c>
      <c r="O46" s="346" t="s">
        <v>387</v>
      </c>
      <c r="P46" s="117"/>
    </row>
    <row r="47" spans="1:16" s="185" customFormat="1" ht="15" thickBot="1" x14ac:dyDescent="0.4">
      <c r="A47" s="7">
        <v>43</v>
      </c>
      <c r="B47" s="171">
        <v>12014170</v>
      </c>
      <c r="C47" s="170">
        <v>59049</v>
      </c>
      <c r="D47" s="191">
        <v>70000212</v>
      </c>
      <c r="E47" s="172">
        <v>90318099</v>
      </c>
      <c r="F47" s="170" t="s">
        <v>66</v>
      </c>
      <c r="G47" s="172" t="s">
        <v>67</v>
      </c>
      <c r="H47" s="188" t="s">
        <v>29</v>
      </c>
      <c r="I47" s="171" t="s">
        <v>21</v>
      </c>
      <c r="J47" s="174" t="s">
        <v>56</v>
      </c>
      <c r="K47" s="170" t="s">
        <v>23</v>
      </c>
      <c r="L47" s="175">
        <v>45470</v>
      </c>
      <c r="M47" s="196">
        <f t="shared" si="1"/>
        <v>46200</v>
      </c>
      <c r="N47" s="24" t="str">
        <f t="shared" ca="1" si="0"/>
        <v>Vencido</v>
      </c>
      <c r="O47" s="346" t="s">
        <v>387</v>
      </c>
      <c r="P47" s="197"/>
    </row>
    <row r="48" spans="1:16" s="2" customFormat="1" ht="13" x14ac:dyDescent="0.3">
      <c r="A48" s="7">
        <v>44</v>
      </c>
      <c r="B48" s="91">
        <v>12014258</v>
      </c>
      <c r="C48" s="18">
        <v>59050</v>
      </c>
      <c r="D48" s="90">
        <v>70000200</v>
      </c>
      <c r="E48" s="27">
        <v>90318099</v>
      </c>
      <c r="F48" s="18">
        <v>980713</v>
      </c>
      <c r="G48" s="27" t="s">
        <v>55</v>
      </c>
      <c r="H48" s="103" t="s">
        <v>20</v>
      </c>
      <c r="I48" s="91" t="s">
        <v>21</v>
      </c>
      <c r="J48" s="92" t="s">
        <v>56</v>
      </c>
      <c r="K48" s="18" t="s">
        <v>23</v>
      </c>
      <c r="L48" s="143">
        <v>46042</v>
      </c>
      <c r="M48" s="144">
        <f t="shared" ref="M48:M57" si="2">L48+730</f>
        <v>46772</v>
      </c>
      <c r="N48" s="24" t="str">
        <f t="shared" ca="1" si="0"/>
        <v>Em Uso</v>
      </c>
      <c r="O48" s="361"/>
      <c r="P48" s="72"/>
    </row>
    <row r="49" spans="1:16" s="2" customFormat="1" ht="13" x14ac:dyDescent="0.3">
      <c r="A49" s="7">
        <v>45</v>
      </c>
      <c r="B49" s="40">
        <v>12014258</v>
      </c>
      <c r="C49" s="7">
        <v>59050</v>
      </c>
      <c r="D49" s="56">
        <v>70000201</v>
      </c>
      <c r="E49" s="26">
        <v>90318099</v>
      </c>
      <c r="F49" s="7">
        <v>980758</v>
      </c>
      <c r="G49" s="26" t="s">
        <v>57</v>
      </c>
      <c r="H49" s="158" t="s">
        <v>20</v>
      </c>
      <c r="I49" s="40" t="s">
        <v>21</v>
      </c>
      <c r="J49" s="25" t="s">
        <v>56</v>
      </c>
      <c r="K49" s="7" t="s">
        <v>23</v>
      </c>
      <c r="L49" s="140">
        <v>46042</v>
      </c>
      <c r="M49" s="141">
        <f t="shared" si="2"/>
        <v>46772</v>
      </c>
      <c r="N49" s="24" t="str">
        <f t="shared" ca="1" si="0"/>
        <v>Em Uso</v>
      </c>
      <c r="O49" s="361"/>
    </row>
    <row r="50" spans="1:16" s="2" customFormat="1" ht="13" x14ac:dyDescent="0.3">
      <c r="A50" s="7">
        <v>46</v>
      </c>
      <c r="B50" s="40">
        <v>12014258</v>
      </c>
      <c r="C50" s="7">
        <v>59050</v>
      </c>
      <c r="D50" s="56">
        <v>70000202</v>
      </c>
      <c r="E50" s="26">
        <v>90318099</v>
      </c>
      <c r="F50" s="7">
        <v>980569</v>
      </c>
      <c r="G50" s="26" t="s">
        <v>58</v>
      </c>
      <c r="H50" s="158" t="s">
        <v>20</v>
      </c>
      <c r="I50" s="40" t="s">
        <v>21</v>
      </c>
      <c r="J50" s="25" t="s">
        <v>56</v>
      </c>
      <c r="K50" s="7" t="s">
        <v>23</v>
      </c>
      <c r="L50" s="140">
        <v>46042</v>
      </c>
      <c r="M50" s="141">
        <f t="shared" si="2"/>
        <v>46772</v>
      </c>
      <c r="N50" s="24" t="str">
        <f t="shared" ca="1" si="0"/>
        <v>Em Uso</v>
      </c>
      <c r="O50" s="361"/>
    </row>
    <row r="51" spans="1:16" s="2" customFormat="1" ht="13" x14ac:dyDescent="0.3">
      <c r="A51" s="7">
        <v>47</v>
      </c>
      <c r="B51" s="40">
        <v>12014258</v>
      </c>
      <c r="C51" s="7">
        <v>59050</v>
      </c>
      <c r="D51" s="56">
        <v>70000204</v>
      </c>
      <c r="E51" s="26">
        <v>90318099</v>
      </c>
      <c r="F51" s="7">
        <v>980091</v>
      </c>
      <c r="G51" s="26" t="s">
        <v>59</v>
      </c>
      <c r="H51" s="158" t="s">
        <v>20</v>
      </c>
      <c r="I51" s="40" t="s">
        <v>21</v>
      </c>
      <c r="J51" s="25" t="s">
        <v>56</v>
      </c>
      <c r="K51" s="7" t="s">
        <v>23</v>
      </c>
      <c r="L51" s="140">
        <v>46042</v>
      </c>
      <c r="M51" s="141">
        <f t="shared" si="2"/>
        <v>46772</v>
      </c>
      <c r="N51" s="24" t="str">
        <f t="shared" ca="1" si="0"/>
        <v>Em Uso</v>
      </c>
      <c r="O51" s="361"/>
    </row>
    <row r="52" spans="1:16" s="2" customFormat="1" ht="13" x14ac:dyDescent="0.3">
      <c r="A52" s="7">
        <v>48</v>
      </c>
      <c r="B52" s="40">
        <v>12014258</v>
      </c>
      <c r="C52" s="7">
        <v>59050</v>
      </c>
      <c r="D52" s="56">
        <v>70000204</v>
      </c>
      <c r="E52" s="26">
        <v>90318099</v>
      </c>
      <c r="F52" s="7"/>
      <c r="G52" s="26" t="s">
        <v>60</v>
      </c>
      <c r="H52" s="158" t="s">
        <v>20</v>
      </c>
      <c r="I52" s="40" t="s">
        <v>21</v>
      </c>
      <c r="J52" s="25" t="s">
        <v>56</v>
      </c>
      <c r="K52" s="7" t="s">
        <v>23</v>
      </c>
      <c r="L52" s="140">
        <v>46042</v>
      </c>
      <c r="M52" s="141">
        <f t="shared" si="2"/>
        <v>46772</v>
      </c>
      <c r="N52" s="24" t="str">
        <f t="shared" ca="1" si="0"/>
        <v>Em Uso</v>
      </c>
      <c r="O52" s="361"/>
    </row>
    <row r="53" spans="1:16" s="2" customFormat="1" ht="13" x14ac:dyDescent="0.3">
      <c r="A53" s="7">
        <v>49</v>
      </c>
      <c r="B53" s="40">
        <v>12014258</v>
      </c>
      <c r="C53" s="7">
        <v>59050</v>
      </c>
      <c r="D53" s="56">
        <v>70000205</v>
      </c>
      <c r="E53" s="26">
        <v>90318099</v>
      </c>
      <c r="F53" s="7">
        <v>980483</v>
      </c>
      <c r="G53" s="26" t="s">
        <v>61</v>
      </c>
      <c r="H53" s="158" t="s">
        <v>20</v>
      </c>
      <c r="I53" s="40" t="s">
        <v>21</v>
      </c>
      <c r="J53" s="25" t="s">
        <v>56</v>
      </c>
      <c r="K53" s="7" t="s">
        <v>23</v>
      </c>
      <c r="L53" s="140">
        <v>46042</v>
      </c>
      <c r="M53" s="141">
        <f t="shared" si="2"/>
        <v>46772</v>
      </c>
      <c r="N53" s="24" t="str">
        <f t="shared" ca="1" si="0"/>
        <v>Em Uso</v>
      </c>
      <c r="O53" s="361"/>
    </row>
    <row r="54" spans="1:16" s="2" customFormat="1" ht="13" x14ac:dyDescent="0.3">
      <c r="A54" s="7">
        <v>50</v>
      </c>
      <c r="B54" s="40">
        <v>12014258</v>
      </c>
      <c r="C54" s="7">
        <v>59050</v>
      </c>
      <c r="D54" s="56">
        <v>70000208</v>
      </c>
      <c r="E54" s="26">
        <v>90318099</v>
      </c>
      <c r="F54" s="7">
        <v>950263</v>
      </c>
      <c r="G54" s="26" t="s">
        <v>62</v>
      </c>
      <c r="H54" s="158" t="s">
        <v>20</v>
      </c>
      <c r="I54" s="40" t="s">
        <v>21</v>
      </c>
      <c r="J54" s="25" t="s">
        <v>56</v>
      </c>
      <c r="K54" s="7" t="s">
        <v>23</v>
      </c>
      <c r="L54" s="140">
        <v>46042</v>
      </c>
      <c r="M54" s="141">
        <f t="shared" si="2"/>
        <v>46772</v>
      </c>
      <c r="N54" s="24" t="str">
        <f t="shared" ca="1" si="0"/>
        <v>Em Uso</v>
      </c>
      <c r="O54" s="361"/>
    </row>
    <row r="55" spans="1:16" s="2" customFormat="1" ht="13" x14ac:dyDescent="0.3">
      <c r="A55" s="7">
        <v>51</v>
      </c>
      <c r="B55" s="40">
        <v>12014258</v>
      </c>
      <c r="C55" s="7">
        <v>59050</v>
      </c>
      <c r="D55" s="56">
        <v>70000210</v>
      </c>
      <c r="E55" s="26">
        <v>90318099</v>
      </c>
      <c r="F55" s="7">
        <v>980697</v>
      </c>
      <c r="G55" s="26" t="s">
        <v>63</v>
      </c>
      <c r="H55" s="158" t="s">
        <v>20</v>
      </c>
      <c r="I55" s="40" t="s">
        <v>21</v>
      </c>
      <c r="J55" s="25" t="s">
        <v>56</v>
      </c>
      <c r="K55" s="7" t="s">
        <v>23</v>
      </c>
      <c r="L55" s="140">
        <v>46042</v>
      </c>
      <c r="M55" s="141">
        <f t="shared" si="2"/>
        <v>46772</v>
      </c>
      <c r="N55" s="24" t="str">
        <f t="shared" ca="1" si="0"/>
        <v>Em Uso</v>
      </c>
      <c r="O55" s="361"/>
    </row>
    <row r="56" spans="1:16" s="2" customFormat="1" ht="13" x14ac:dyDescent="0.3">
      <c r="A56" s="100">
        <v>52</v>
      </c>
      <c r="B56" s="122">
        <v>12014258</v>
      </c>
      <c r="C56" s="100">
        <v>59050</v>
      </c>
      <c r="D56" s="278">
        <v>70000211</v>
      </c>
      <c r="E56" s="101">
        <v>90318099</v>
      </c>
      <c r="F56" s="100">
        <v>980164</v>
      </c>
      <c r="G56" s="101" t="s">
        <v>64</v>
      </c>
      <c r="H56" s="343" t="s">
        <v>20</v>
      </c>
      <c r="I56" s="122" t="s">
        <v>21</v>
      </c>
      <c r="J56" s="269" t="s">
        <v>56</v>
      </c>
      <c r="K56" s="100" t="s">
        <v>23</v>
      </c>
      <c r="L56" s="216">
        <v>46042</v>
      </c>
      <c r="M56" s="217">
        <f t="shared" si="2"/>
        <v>46772</v>
      </c>
      <c r="N56" s="218" t="str">
        <f t="shared" ca="1" si="0"/>
        <v>Em Uso</v>
      </c>
      <c r="O56" s="361"/>
    </row>
    <row r="57" spans="1:16" s="250" customFormat="1" ht="13" x14ac:dyDescent="0.3">
      <c r="A57" s="244">
        <v>53</v>
      </c>
      <c r="B57" s="344">
        <v>12014258</v>
      </c>
      <c r="C57" s="244">
        <v>59050</v>
      </c>
      <c r="D57" s="345">
        <v>70000212</v>
      </c>
      <c r="E57" s="245">
        <v>90318099</v>
      </c>
      <c r="F57" s="244">
        <v>963817</v>
      </c>
      <c r="G57" s="245" t="s">
        <v>67</v>
      </c>
      <c r="H57" s="326" t="s">
        <v>20</v>
      </c>
      <c r="I57" s="243" t="s">
        <v>21</v>
      </c>
      <c r="J57" s="251" t="s">
        <v>56</v>
      </c>
      <c r="K57" s="244" t="s">
        <v>23</v>
      </c>
      <c r="L57" s="252">
        <v>46042</v>
      </c>
      <c r="M57" s="253">
        <f t="shared" si="2"/>
        <v>46772</v>
      </c>
      <c r="N57" s="254" t="str">
        <f t="shared" ca="1" si="0"/>
        <v>Em Uso</v>
      </c>
      <c r="O57" s="363"/>
    </row>
    <row r="58" spans="1:16" s="2" customFormat="1" ht="13" x14ac:dyDescent="0.3">
      <c r="A58" s="18">
        <v>54</v>
      </c>
      <c r="B58" s="113">
        <v>12014259</v>
      </c>
      <c r="C58" s="18">
        <v>59051</v>
      </c>
      <c r="D58" s="90">
        <v>70000200</v>
      </c>
      <c r="E58" s="27">
        <v>90318099</v>
      </c>
      <c r="F58" s="18" t="s">
        <v>68</v>
      </c>
      <c r="G58" s="27" t="s">
        <v>69</v>
      </c>
      <c r="H58" s="111" t="s">
        <v>26</v>
      </c>
      <c r="I58" s="40" t="s">
        <v>21</v>
      </c>
      <c r="J58" s="92" t="s">
        <v>56</v>
      </c>
      <c r="K58" s="18" t="s">
        <v>23</v>
      </c>
      <c r="L58" s="143">
        <v>45698</v>
      </c>
      <c r="M58" s="144">
        <f t="shared" ref="M58:M67" si="3">L58+730+0</f>
        <v>46428</v>
      </c>
      <c r="N58" s="23" t="str">
        <f t="shared" ca="1" si="0"/>
        <v>Em Uso</v>
      </c>
      <c r="O58" s="165" t="s">
        <v>27</v>
      </c>
      <c r="P58" s="95"/>
    </row>
    <row r="59" spans="1:16" s="2" customFormat="1" ht="13" x14ac:dyDescent="0.3">
      <c r="A59" s="7">
        <v>55</v>
      </c>
      <c r="B59" s="159">
        <v>12014259</v>
      </c>
      <c r="C59" s="7">
        <v>59051</v>
      </c>
      <c r="D59" s="56">
        <v>70000201</v>
      </c>
      <c r="E59" s="26">
        <v>90318099</v>
      </c>
      <c r="F59" s="7">
        <v>910872</v>
      </c>
      <c r="G59" s="26" t="s">
        <v>57</v>
      </c>
      <c r="H59" s="111" t="s">
        <v>26</v>
      </c>
      <c r="I59" s="40" t="s">
        <v>21</v>
      </c>
      <c r="J59" s="25" t="s">
        <v>56</v>
      </c>
      <c r="K59" s="7" t="s">
        <v>23</v>
      </c>
      <c r="L59" s="140">
        <v>45698</v>
      </c>
      <c r="M59" s="141">
        <f t="shared" si="3"/>
        <v>46428</v>
      </c>
      <c r="N59" s="24" t="str">
        <f t="shared" ca="1" si="0"/>
        <v>Em Uso</v>
      </c>
      <c r="O59" s="165" t="s">
        <v>27</v>
      </c>
      <c r="P59" s="95"/>
    </row>
    <row r="60" spans="1:16" s="2" customFormat="1" ht="13" x14ac:dyDescent="0.3">
      <c r="A60" s="7">
        <v>56</v>
      </c>
      <c r="B60" s="159">
        <v>12014259</v>
      </c>
      <c r="C60" s="7">
        <v>59051</v>
      </c>
      <c r="D60" s="56">
        <v>70000202</v>
      </c>
      <c r="E60" s="26">
        <v>90318099</v>
      </c>
      <c r="F60" s="7">
        <v>930003</v>
      </c>
      <c r="G60" s="26" t="s">
        <v>58</v>
      </c>
      <c r="H60" s="111" t="s">
        <v>26</v>
      </c>
      <c r="I60" s="40" t="s">
        <v>21</v>
      </c>
      <c r="J60" s="25" t="s">
        <v>56</v>
      </c>
      <c r="K60" s="7" t="s">
        <v>23</v>
      </c>
      <c r="L60" s="140">
        <v>45698</v>
      </c>
      <c r="M60" s="141">
        <f t="shared" si="3"/>
        <v>46428</v>
      </c>
      <c r="N60" s="24" t="str">
        <f t="shared" ca="1" si="0"/>
        <v>Em Uso</v>
      </c>
      <c r="O60" s="165" t="s">
        <v>27</v>
      </c>
      <c r="P60" s="95"/>
    </row>
    <row r="61" spans="1:16" s="2" customFormat="1" ht="13" x14ac:dyDescent="0.3">
      <c r="A61" s="7">
        <v>57</v>
      </c>
      <c r="B61" s="159">
        <v>12014259</v>
      </c>
      <c r="C61" s="7">
        <v>59051</v>
      </c>
      <c r="D61" s="56">
        <v>70000204</v>
      </c>
      <c r="E61" s="26">
        <v>90318099</v>
      </c>
      <c r="F61" s="7">
        <v>910815</v>
      </c>
      <c r="G61" s="26" t="s">
        <v>59</v>
      </c>
      <c r="H61" s="111" t="s">
        <v>26</v>
      </c>
      <c r="I61" s="40" t="s">
        <v>21</v>
      </c>
      <c r="J61" s="25" t="s">
        <v>56</v>
      </c>
      <c r="K61" s="7" t="s">
        <v>23</v>
      </c>
      <c r="L61" s="140">
        <v>45698</v>
      </c>
      <c r="M61" s="141">
        <f t="shared" si="3"/>
        <v>46428</v>
      </c>
      <c r="N61" s="24" t="str">
        <f t="shared" ca="1" si="0"/>
        <v>Em Uso</v>
      </c>
      <c r="O61" s="165" t="s">
        <v>27</v>
      </c>
      <c r="P61" s="95"/>
    </row>
    <row r="62" spans="1:16" s="2" customFormat="1" ht="13" x14ac:dyDescent="0.3">
      <c r="A62" s="7">
        <v>58</v>
      </c>
      <c r="B62" s="159">
        <v>12014259</v>
      </c>
      <c r="C62" s="7">
        <v>59051</v>
      </c>
      <c r="D62" s="56">
        <v>70000204</v>
      </c>
      <c r="E62" s="26">
        <v>90318099</v>
      </c>
      <c r="F62" s="7">
        <v>172003</v>
      </c>
      <c r="G62" s="26" t="s">
        <v>60</v>
      </c>
      <c r="H62" s="111" t="s">
        <v>26</v>
      </c>
      <c r="I62" s="40" t="s">
        <v>21</v>
      </c>
      <c r="J62" s="25" t="s">
        <v>56</v>
      </c>
      <c r="K62" s="7" t="s">
        <v>23</v>
      </c>
      <c r="L62" s="140">
        <v>45698</v>
      </c>
      <c r="M62" s="141">
        <f t="shared" si="3"/>
        <v>46428</v>
      </c>
      <c r="N62" s="24" t="str">
        <f t="shared" ca="1" si="0"/>
        <v>Em Uso</v>
      </c>
      <c r="O62" s="165" t="s">
        <v>27</v>
      </c>
      <c r="P62" s="95"/>
    </row>
    <row r="63" spans="1:16" s="2" customFormat="1" ht="13" x14ac:dyDescent="0.3">
      <c r="A63" s="7">
        <v>59</v>
      </c>
      <c r="B63" s="159">
        <v>12014259</v>
      </c>
      <c r="C63" s="7">
        <v>59051</v>
      </c>
      <c r="D63" s="56">
        <v>70000205</v>
      </c>
      <c r="E63" s="26">
        <v>90318099</v>
      </c>
      <c r="F63" s="7">
        <v>910562</v>
      </c>
      <c r="G63" s="26" t="s">
        <v>61</v>
      </c>
      <c r="H63" s="111" t="s">
        <v>26</v>
      </c>
      <c r="I63" s="40" t="s">
        <v>21</v>
      </c>
      <c r="J63" s="25" t="s">
        <v>56</v>
      </c>
      <c r="K63" s="7" t="s">
        <v>23</v>
      </c>
      <c r="L63" s="140">
        <v>45698</v>
      </c>
      <c r="M63" s="141">
        <f t="shared" si="3"/>
        <v>46428</v>
      </c>
      <c r="N63" s="24" t="str">
        <f t="shared" ca="1" si="0"/>
        <v>Em Uso</v>
      </c>
      <c r="O63" s="165" t="s">
        <v>27</v>
      </c>
      <c r="P63" s="95"/>
    </row>
    <row r="64" spans="1:16" s="2" customFormat="1" ht="13" x14ac:dyDescent="0.3">
      <c r="A64" s="7">
        <v>60</v>
      </c>
      <c r="B64" s="159">
        <v>12014259</v>
      </c>
      <c r="C64" s="7">
        <v>59051</v>
      </c>
      <c r="D64" s="56">
        <v>70000208</v>
      </c>
      <c r="E64" s="26">
        <v>90318099</v>
      </c>
      <c r="F64" s="7">
        <v>910789</v>
      </c>
      <c r="G64" s="26" t="s">
        <v>62</v>
      </c>
      <c r="H64" s="111" t="s">
        <v>26</v>
      </c>
      <c r="I64" s="40" t="s">
        <v>21</v>
      </c>
      <c r="J64" s="25" t="s">
        <v>56</v>
      </c>
      <c r="K64" s="7" t="s">
        <v>23</v>
      </c>
      <c r="L64" s="140">
        <v>45698</v>
      </c>
      <c r="M64" s="141">
        <f t="shared" si="3"/>
        <v>46428</v>
      </c>
      <c r="N64" s="24" t="str">
        <f t="shared" ca="1" si="0"/>
        <v>Em Uso</v>
      </c>
      <c r="O64" s="165" t="s">
        <v>27</v>
      </c>
      <c r="P64" s="95"/>
    </row>
    <row r="65" spans="1:17" s="2" customFormat="1" ht="13" x14ac:dyDescent="0.3">
      <c r="A65" s="7">
        <v>61</v>
      </c>
      <c r="B65" s="159">
        <v>12014259</v>
      </c>
      <c r="C65" s="7">
        <v>59051</v>
      </c>
      <c r="D65" s="56">
        <v>70000210</v>
      </c>
      <c r="E65" s="26">
        <v>90318099</v>
      </c>
      <c r="F65" s="7">
        <v>910094</v>
      </c>
      <c r="G65" s="26" t="s">
        <v>63</v>
      </c>
      <c r="H65" s="111" t="s">
        <v>26</v>
      </c>
      <c r="I65" s="40" t="s">
        <v>21</v>
      </c>
      <c r="J65" s="25" t="s">
        <v>56</v>
      </c>
      <c r="K65" s="7" t="s">
        <v>23</v>
      </c>
      <c r="L65" s="140">
        <v>45698</v>
      </c>
      <c r="M65" s="141">
        <f t="shared" si="3"/>
        <v>46428</v>
      </c>
      <c r="N65" s="24" t="str">
        <f t="shared" ca="1" si="0"/>
        <v>Em Uso</v>
      </c>
      <c r="O65" s="165" t="s">
        <v>27</v>
      </c>
      <c r="P65" s="95"/>
    </row>
    <row r="66" spans="1:17" s="2" customFormat="1" ht="13" x14ac:dyDescent="0.3">
      <c r="A66" s="100">
        <v>62</v>
      </c>
      <c r="B66" s="277">
        <v>12014259</v>
      </c>
      <c r="C66" s="100">
        <v>59051</v>
      </c>
      <c r="D66" s="278">
        <v>70000211</v>
      </c>
      <c r="E66" s="101">
        <v>90318099</v>
      </c>
      <c r="F66" s="100">
        <v>920324</v>
      </c>
      <c r="G66" s="101" t="s">
        <v>64</v>
      </c>
      <c r="H66" s="111" t="s">
        <v>26</v>
      </c>
      <c r="I66" s="40" t="s">
        <v>21</v>
      </c>
      <c r="J66" s="269" t="s">
        <v>56</v>
      </c>
      <c r="K66" s="100" t="s">
        <v>23</v>
      </c>
      <c r="L66" s="216">
        <v>45698</v>
      </c>
      <c r="M66" s="217">
        <f t="shared" si="3"/>
        <v>46428</v>
      </c>
      <c r="N66" s="218" t="str">
        <f t="shared" ca="1" si="0"/>
        <v>Em Uso</v>
      </c>
      <c r="O66" s="165" t="s">
        <v>27</v>
      </c>
      <c r="P66" s="95"/>
    </row>
    <row r="67" spans="1:17" s="180" customFormat="1" ht="13.5" thickBot="1" x14ac:dyDescent="0.35">
      <c r="A67" s="118">
        <v>63</v>
      </c>
      <c r="B67" s="280">
        <v>12014259</v>
      </c>
      <c r="C67" s="118">
        <v>59051</v>
      </c>
      <c r="D67" s="281">
        <v>70000212</v>
      </c>
      <c r="E67" s="270">
        <v>90318099</v>
      </c>
      <c r="F67" s="118">
        <v>924115</v>
      </c>
      <c r="G67" s="270" t="s">
        <v>67</v>
      </c>
      <c r="H67" s="111" t="s">
        <v>26</v>
      </c>
      <c r="I67" s="40" t="s">
        <v>21</v>
      </c>
      <c r="J67" s="119" t="s">
        <v>56</v>
      </c>
      <c r="K67" s="282" t="s">
        <v>23</v>
      </c>
      <c r="L67" s="222">
        <v>45698</v>
      </c>
      <c r="M67" s="223">
        <f t="shared" si="3"/>
        <v>46428</v>
      </c>
      <c r="N67" s="224" t="str">
        <f t="shared" ca="1" si="0"/>
        <v>Em Uso</v>
      </c>
      <c r="O67" s="165" t="s">
        <v>27</v>
      </c>
      <c r="P67" s="199"/>
    </row>
    <row r="68" spans="1:17" s="2" customFormat="1" ht="13" x14ac:dyDescent="0.3">
      <c r="A68" s="283">
        <v>64</v>
      </c>
      <c r="B68" s="284">
        <v>12040805</v>
      </c>
      <c r="C68" s="283"/>
      <c r="D68" s="278" t="s">
        <v>70</v>
      </c>
      <c r="E68" s="101">
        <v>90318099</v>
      </c>
      <c r="F68" s="283">
        <v>205604</v>
      </c>
      <c r="G68" s="27" t="s">
        <v>69</v>
      </c>
      <c r="H68" s="115" t="s">
        <v>28</v>
      </c>
      <c r="I68" s="40" t="s">
        <v>21</v>
      </c>
      <c r="J68" s="25" t="s">
        <v>56</v>
      </c>
      <c r="K68" s="7" t="s">
        <v>23</v>
      </c>
      <c r="L68" s="140">
        <v>45910</v>
      </c>
      <c r="M68" s="141">
        <f t="shared" ref="M68:M77" si="4">L68+730</f>
        <v>46640</v>
      </c>
      <c r="N68" s="24" t="str">
        <f t="shared" ca="1" si="0"/>
        <v>Em Uso</v>
      </c>
      <c r="O68" s="279"/>
      <c r="P68" s="95"/>
    </row>
    <row r="69" spans="1:17" s="2" customFormat="1" ht="13" x14ac:dyDescent="0.3">
      <c r="A69" s="283">
        <v>64</v>
      </c>
      <c r="B69" s="284">
        <v>12040805</v>
      </c>
      <c r="C69" s="244"/>
      <c r="D69" s="278" t="s">
        <v>71</v>
      </c>
      <c r="E69" s="101">
        <v>90318099</v>
      </c>
      <c r="F69" s="244">
        <v>245662</v>
      </c>
      <c r="G69" s="26" t="s">
        <v>57</v>
      </c>
      <c r="H69" s="161" t="s">
        <v>28</v>
      </c>
      <c r="I69" s="40" t="s">
        <v>21</v>
      </c>
      <c r="J69" s="25" t="s">
        <v>56</v>
      </c>
      <c r="K69" s="7" t="s">
        <v>23</v>
      </c>
      <c r="L69" s="140">
        <v>45910</v>
      </c>
      <c r="M69" s="141">
        <f t="shared" si="4"/>
        <v>46640</v>
      </c>
      <c r="N69" s="24" t="str">
        <f t="shared" ref="N69:N132" ca="1" si="5">IF((TODAY())&gt;M69,"Vencido",IF(M69-(TODAY())&lt;=30,"Sol. Cal. Urgen.",IF(M69-(TODAY())&lt;=120,"Sol. Cal.",IF(M69&gt;(TODAY())+120,"Em Uso"))))</f>
        <v>Em Uso</v>
      </c>
      <c r="O69" s="279"/>
      <c r="P69" s="95"/>
    </row>
    <row r="70" spans="1:17" s="2" customFormat="1" ht="13" x14ac:dyDescent="0.3">
      <c r="A70" s="283">
        <v>64</v>
      </c>
      <c r="B70" s="284">
        <v>12040805</v>
      </c>
      <c r="C70" s="244"/>
      <c r="D70" s="278" t="s">
        <v>72</v>
      </c>
      <c r="E70" s="101">
        <v>90318099</v>
      </c>
      <c r="F70" s="244">
        <v>215227</v>
      </c>
      <c r="G70" s="26" t="s">
        <v>58</v>
      </c>
      <c r="H70" s="161" t="s">
        <v>28</v>
      </c>
      <c r="I70" s="40" t="s">
        <v>21</v>
      </c>
      <c r="J70" s="25" t="s">
        <v>56</v>
      </c>
      <c r="K70" s="7" t="s">
        <v>23</v>
      </c>
      <c r="L70" s="140">
        <v>45910</v>
      </c>
      <c r="M70" s="141">
        <f t="shared" si="4"/>
        <v>46640</v>
      </c>
      <c r="N70" s="24" t="str">
        <f t="shared" ca="1" si="5"/>
        <v>Em Uso</v>
      </c>
      <c r="O70" s="279"/>
      <c r="P70" s="95"/>
    </row>
    <row r="71" spans="1:17" s="2" customFormat="1" ht="13" x14ac:dyDescent="0.3">
      <c r="A71" s="283">
        <v>64</v>
      </c>
      <c r="B71" s="284">
        <v>12040805</v>
      </c>
      <c r="C71" s="244"/>
      <c r="D71" s="278" t="s">
        <v>73</v>
      </c>
      <c r="E71" s="101">
        <v>90318099</v>
      </c>
      <c r="F71" s="244">
        <v>235213</v>
      </c>
      <c r="G71" s="26" t="s">
        <v>59</v>
      </c>
      <c r="H71" s="161" t="s">
        <v>28</v>
      </c>
      <c r="I71" s="40" t="s">
        <v>21</v>
      </c>
      <c r="J71" s="25" t="s">
        <v>56</v>
      </c>
      <c r="K71" s="7" t="s">
        <v>23</v>
      </c>
      <c r="L71" s="140">
        <v>45910</v>
      </c>
      <c r="M71" s="141">
        <f t="shared" si="4"/>
        <v>46640</v>
      </c>
      <c r="N71" s="24" t="str">
        <f t="shared" ca="1" si="5"/>
        <v>Em Uso</v>
      </c>
      <c r="O71" s="279"/>
      <c r="P71" s="95"/>
    </row>
    <row r="72" spans="1:17" s="2" customFormat="1" ht="13" x14ac:dyDescent="0.3">
      <c r="A72" s="283">
        <v>64</v>
      </c>
      <c r="B72" s="284">
        <v>12040805</v>
      </c>
      <c r="C72" s="244"/>
      <c r="D72" s="278" t="s">
        <v>74</v>
      </c>
      <c r="E72" s="101">
        <v>90318099</v>
      </c>
      <c r="F72" s="244">
        <v>215170</v>
      </c>
      <c r="G72" s="26" t="s">
        <v>60</v>
      </c>
      <c r="H72" s="161" t="s">
        <v>28</v>
      </c>
      <c r="I72" s="40" t="s">
        <v>21</v>
      </c>
      <c r="J72" s="25" t="s">
        <v>56</v>
      </c>
      <c r="K72" s="7" t="s">
        <v>23</v>
      </c>
      <c r="L72" s="140">
        <v>45910</v>
      </c>
      <c r="M72" s="141">
        <f t="shared" si="4"/>
        <v>46640</v>
      </c>
      <c r="N72" s="24" t="str">
        <f t="shared" ca="1" si="5"/>
        <v>Em Uso</v>
      </c>
      <c r="O72" s="279"/>
      <c r="P72" s="95"/>
    </row>
    <row r="73" spans="1:17" s="2" customFormat="1" ht="13" x14ac:dyDescent="0.3">
      <c r="A73" s="283">
        <v>64</v>
      </c>
      <c r="B73" s="284">
        <v>12040805</v>
      </c>
      <c r="C73" s="244"/>
      <c r="D73" s="278" t="s">
        <v>75</v>
      </c>
      <c r="E73" s="101">
        <v>90318099</v>
      </c>
      <c r="F73" s="244">
        <v>244648</v>
      </c>
      <c r="G73" s="26" t="s">
        <v>61</v>
      </c>
      <c r="H73" s="161" t="s">
        <v>28</v>
      </c>
      <c r="I73" s="40" t="s">
        <v>21</v>
      </c>
      <c r="J73" s="25" t="s">
        <v>56</v>
      </c>
      <c r="K73" s="7" t="s">
        <v>23</v>
      </c>
      <c r="L73" s="140">
        <v>45910</v>
      </c>
      <c r="M73" s="141">
        <f t="shared" si="4"/>
        <v>46640</v>
      </c>
      <c r="N73" s="24" t="str">
        <f t="shared" ca="1" si="5"/>
        <v>Em Uso</v>
      </c>
      <c r="O73" s="279"/>
      <c r="P73" s="95"/>
    </row>
    <row r="74" spans="1:17" s="2" customFormat="1" ht="13" x14ac:dyDescent="0.3">
      <c r="A74" s="283">
        <v>64</v>
      </c>
      <c r="B74" s="284">
        <v>12040805</v>
      </c>
      <c r="C74" s="244"/>
      <c r="D74" s="278" t="s">
        <v>76</v>
      </c>
      <c r="E74" s="101">
        <v>90318099</v>
      </c>
      <c r="F74" s="244">
        <v>255597</v>
      </c>
      <c r="G74" s="26" t="s">
        <v>62</v>
      </c>
      <c r="H74" s="161" t="s">
        <v>28</v>
      </c>
      <c r="I74" s="40" t="s">
        <v>21</v>
      </c>
      <c r="J74" s="25" t="s">
        <v>56</v>
      </c>
      <c r="K74" s="7" t="s">
        <v>23</v>
      </c>
      <c r="L74" s="140">
        <v>45910</v>
      </c>
      <c r="M74" s="141">
        <f t="shared" si="4"/>
        <v>46640</v>
      </c>
      <c r="N74" s="24" t="str">
        <f t="shared" ca="1" si="5"/>
        <v>Em Uso</v>
      </c>
      <c r="O74" s="279"/>
      <c r="P74" s="95"/>
    </row>
    <row r="75" spans="1:17" s="2" customFormat="1" ht="13" x14ac:dyDescent="0.3">
      <c r="A75" s="283">
        <v>64</v>
      </c>
      <c r="B75" s="284">
        <v>12040805</v>
      </c>
      <c r="C75" s="244"/>
      <c r="D75" s="278" t="s">
        <v>77</v>
      </c>
      <c r="E75" s="101">
        <v>90318099</v>
      </c>
      <c r="F75" s="244">
        <v>245992</v>
      </c>
      <c r="G75" s="26" t="s">
        <v>63</v>
      </c>
      <c r="H75" s="161" t="s">
        <v>28</v>
      </c>
      <c r="I75" s="40" t="s">
        <v>21</v>
      </c>
      <c r="J75" s="25" t="s">
        <v>56</v>
      </c>
      <c r="K75" s="7" t="s">
        <v>23</v>
      </c>
      <c r="L75" s="140">
        <v>45910</v>
      </c>
      <c r="M75" s="141">
        <f t="shared" si="4"/>
        <v>46640</v>
      </c>
      <c r="N75" s="24" t="str">
        <f t="shared" ca="1" si="5"/>
        <v>Em Uso</v>
      </c>
      <c r="O75" s="279"/>
      <c r="P75" s="95"/>
    </row>
    <row r="76" spans="1:17" s="2" customFormat="1" ht="13" x14ac:dyDescent="0.3">
      <c r="A76" s="283">
        <v>64</v>
      </c>
      <c r="B76" s="298">
        <v>12040805</v>
      </c>
      <c r="C76" s="287"/>
      <c r="D76" s="278" t="s">
        <v>78</v>
      </c>
      <c r="E76" s="101">
        <v>90318099</v>
      </c>
      <c r="F76" s="287">
        <v>245826</v>
      </c>
      <c r="G76" s="101" t="s">
        <v>64</v>
      </c>
      <c r="H76" s="288" t="s">
        <v>28</v>
      </c>
      <c r="I76" s="122" t="s">
        <v>21</v>
      </c>
      <c r="J76" s="269" t="s">
        <v>56</v>
      </c>
      <c r="K76" s="100" t="s">
        <v>23</v>
      </c>
      <c r="L76" s="140">
        <v>45910</v>
      </c>
      <c r="M76" s="217">
        <f t="shared" si="4"/>
        <v>46640</v>
      </c>
      <c r="N76" s="258" t="str">
        <f t="shared" ca="1" si="5"/>
        <v>Em Uso</v>
      </c>
      <c r="O76" s="279"/>
      <c r="P76" s="95"/>
    </row>
    <row r="77" spans="1:17" s="2" customFormat="1" ht="13.5" thickBot="1" x14ac:dyDescent="0.35">
      <c r="A77" s="283">
        <v>64</v>
      </c>
      <c r="B77" s="286">
        <v>12040805</v>
      </c>
      <c r="C77" s="285"/>
      <c r="D77" s="281" t="s">
        <v>79</v>
      </c>
      <c r="E77" s="270">
        <v>90318099</v>
      </c>
      <c r="F77" s="285">
        <v>244512</v>
      </c>
      <c r="G77" s="270" t="s">
        <v>67</v>
      </c>
      <c r="H77" s="215" t="s">
        <v>28</v>
      </c>
      <c r="I77" s="121" t="s">
        <v>21</v>
      </c>
      <c r="J77" s="119" t="s">
        <v>56</v>
      </c>
      <c r="K77" s="118" t="s">
        <v>23</v>
      </c>
      <c r="L77" s="140">
        <v>45910</v>
      </c>
      <c r="M77" s="223">
        <f t="shared" si="4"/>
        <v>46640</v>
      </c>
      <c r="N77" s="300" t="str">
        <f t="shared" ca="1" si="5"/>
        <v>Em Uso</v>
      </c>
      <c r="O77" s="279"/>
      <c r="P77" s="95"/>
    </row>
    <row r="78" spans="1:17" s="2" customFormat="1" ht="13" x14ac:dyDescent="0.3">
      <c r="A78" s="283">
        <v>64</v>
      </c>
      <c r="B78" s="289">
        <v>12031953</v>
      </c>
      <c r="C78" s="290"/>
      <c r="D78" s="291" t="s">
        <v>80</v>
      </c>
      <c r="E78" s="291">
        <v>90172000</v>
      </c>
      <c r="F78" s="290" t="s">
        <v>81</v>
      </c>
      <c r="G78" s="292" t="s">
        <v>82</v>
      </c>
      <c r="H78" s="293" t="s">
        <v>29</v>
      </c>
      <c r="I78" s="294" t="s">
        <v>21</v>
      </c>
      <c r="J78" s="295" t="s">
        <v>83</v>
      </c>
      <c r="K78" s="290" t="s">
        <v>84</v>
      </c>
      <c r="L78" s="296">
        <v>46230</v>
      </c>
      <c r="M78" s="297">
        <f>L78+365+1</f>
        <v>46596</v>
      </c>
      <c r="N78" s="301" t="str">
        <f t="shared" ca="1" si="5"/>
        <v>Em Uso</v>
      </c>
      <c r="O78" s="360" t="s">
        <v>85</v>
      </c>
      <c r="P78" s="95"/>
    </row>
    <row r="79" spans="1:17" s="2" customFormat="1" ht="13" x14ac:dyDescent="0.3">
      <c r="A79" s="123"/>
      <c r="B79" s="274">
        <v>12039696</v>
      </c>
      <c r="C79" s="275"/>
      <c r="D79" s="332" t="s">
        <v>80</v>
      </c>
      <c r="E79" s="332">
        <v>90172000</v>
      </c>
      <c r="F79" s="275" t="s">
        <v>86</v>
      </c>
      <c r="G79" s="333" t="s">
        <v>82</v>
      </c>
      <c r="H79" s="334" t="s">
        <v>30</v>
      </c>
      <c r="I79" s="240" t="s">
        <v>21</v>
      </c>
      <c r="J79" s="335" t="s">
        <v>83</v>
      </c>
      <c r="K79" s="275" t="s">
        <v>84</v>
      </c>
      <c r="L79" s="336">
        <v>46230</v>
      </c>
      <c r="M79" s="337">
        <f>L79+365+1</f>
        <v>46596</v>
      </c>
      <c r="N79" s="338" t="str">
        <f t="shared" ca="1" si="5"/>
        <v>Em Uso</v>
      </c>
      <c r="O79" s="360" t="s">
        <v>85</v>
      </c>
      <c r="P79" s="95"/>
    </row>
    <row r="80" spans="1:17" s="250" customFormat="1" ht="13" x14ac:dyDescent="0.3">
      <c r="A80" s="244">
        <v>65</v>
      </c>
      <c r="B80" s="243">
        <v>12032183</v>
      </c>
      <c r="C80" s="244"/>
      <c r="D80" s="324" t="s">
        <v>80</v>
      </c>
      <c r="E80" s="324">
        <v>90172000</v>
      </c>
      <c r="F80" s="244" t="s">
        <v>87</v>
      </c>
      <c r="G80" s="325" t="s">
        <v>82</v>
      </c>
      <c r="H80" s="326" t="s">
        <v>20</v>
      </c>
      <c r="I80" s="243" t="s">
        <v>21</v>
      </c>
      <c r="J80" s="327" t="s">
        <v>83</v>
      </c>
      <c r="K80" s="328" t="s">
        <v>84</v>
      </c>
      <c r="L80" s="329">
        <v>46149</v>
      </c>
      <c r="M80" s="330">
        <f>L80+365+1</f>
        <v>46515</v>
      </c>
      <c r="N80" s="254" t="str">
        <f t="shared" ca="1" si="5"/>
        <v>Em Uso</v>
      </c>
      <c r="O80" s="299"/>
      <c r="P80" s="331"/>
      <c r="Q80" s="325"/>
    </row>
    <row r="81" spans="1:16" s="2" customFormat="1" ht="13" x14ac:dyDescent="0.3">
      <c r="A81" s="18">
        <v>66</v>
      </c>
      <c r="B81" s="91">
        <v>12014260</v>
      </c>
      <c r="C81" s="18">
        <v>59052</v>
      </c>
      <c r="D81" s="27" t="s">
        <v>88</v>
      </c>
      <c r="E81" s="27">
        <v>73269090</v>
      </c>
      <c r="F81" s="18">
        <v>156</v>
      </c>
      <c r="G81" s="110" t="s">
        <v>89</v>
      </c>
      <c r="H81" s="103" t="s">
        <v>20</v>
      </c>
      <c r="I81" s="91" t="s">
        <v>21</v>
      </c>
      <c r="J81" s="92" t="s">
        <v>90</v>
      </c>
      <c r="K81" s="18" t="s">
        <v>91</v>
      </c>
      <c r="L81" s="145">
        <v>46056</v>
      </c>
      <c r="M81" s="146">
        <f>L81+1095+0</f>
        <v>47151</v>
      </c>
      <c r="N81" s="23" t="str">
        <f t="shared" ca="1" si="5"/>
        <v>Em Uso</v>
      </c>
      <c r="O81" s="362"/>
    </row>
    <row r="82" spans="1:16" s="2" customFormat="1" ht="13" x14ac:dyDescent="0.3">
      <c r="A82" s="7">
        <v>67</v>
      </c>
      <c r="B82" s="40">
        <v>12014261</v>
      </c>
      <c r="C82" s="7">
        <v>59053</v>
      </c>
      <c r="D82" s="27" t="s">
        <v>88</v>
      </c>
      <c r="E82" s="26">
        <v>73269090</v>
      </c>
      <c r="F82" s="7">
        <v>516</v>
      </c>
      <c r="G82" s="29" t="s">
        <v>89</v>
      </c>
      <c r="H82" s="111" t="s">
        <v>26</v>
      </c>
      <c r="I82" s="40" t="s">
        <v>21</v>
      </c>
      <c r="J82" s="25" t="s">
        <v>90</v>
      </c>
      <c r="K82" s="7" t="s">
        <v>91</v>
      </c>
      <c r="L82" s="147">
        <v>46172</v>
      </c>
      <c r="M82" s="148">
        <f>L82+1095+0</f>
        <v>47267</v>
      </c>
      <c r="N82" s="57" t="str">
        <f t="shared" ca="1" si="5"/>
        <v>Em Uso</v>
      </c>
      <c r="O82" s="165" t="s">
        <v>27</v>
      </c>
    </row>
    <row r="83" spans="1:16" s="2" customFormat="1" ht="13" x14ac:dyDescent="0.3">
      <c r="A83" s="7">
        <v>68</v>
      </c>
      <c r="B83" s="40">
        <v>12014262</v>
      </c>
      <c r="C83" s="7">
        <v>59054</v>
      </c>
      <c r="D83" s="27" t="s">
        <v>88</v>
      </c>
      <c r="E83" s="26">
        <v>73269090</v>
      </c>
      <c r="F83" s="7">
        <v>161</v>
      </c>
      <c r="G83" s="29" t="s">
        <v>92</v>
      </c>
      <c r="H83" s="158" t="s">
        <v>20</v>
      </c>
      <c r="I83" s="40" t="s">
        <v>21</v>
      </c>
      <c r="J83" s="25" t="s">
        <v>90</v>
      </c>
      <c r="K83" s="7" t="s">
        <v>91</v>
      </c>
      <c r="L83" s="147">
        <v>46056</v>
      </c>
      <c r="M83" s="148">
        <f>L83+1095+0</f>
        <v>47151</v>
      </c>
      <c r="N83" s="24" t="str">
        <f t="shared" ca="1" si="5"/>
        <v>Em Uso</v>
      </c>
      <c r="O83" s="362"/>
    </row>
    <row r="84" spans="1:16" s="2" customFormat="1" ht="13" x14ac:dyDescent="0.3">
      <c r="A84" s="7">
        <v>69</v>
      </c>
      <c r="B84" s="40">
        <v>12014263</v>
      </c>
      <c r="C84" s="7">
        <v>59055</v>
      </c>
      <c r="D84" s="27" t="s">
        <v>88</v>
      </c>
      <c r="E84" s="26">
        <v>73269090</v>
      </c>
      <c r="F84" s="7">
        <v>523</v>
      </c>
      <c r="G84" s="29" t="s">
        <v>92</v>
      </c>
      <c r="H84" s="111" t="s">
        <v>26</v>
      </c>
      <c r="I84" s="40" t="s">
        <v>21</v>
      </c>
      <c r="J84" s="25" t="s">
        <v>90</v>
      </c>
      <c r="K84" s="7" t="s">
        <v>91</v>
      </c>
      <c r="L84" s="147">
        <v>46056</v>
      </c>
      <c r="M84" s="148">
        <f>L84+1095+1</f>
        <v>47152</v>
      </c>
      <c r="N84" s="24" t="str">
        <f t="shared" ca="1" si="5"/>
        <v>Em Uso</v>
      </c>
      <c r="O84" s="165" t="s">
        <v>27</v>
      </c>
    </row>
    <row r="85" spans="1:16" s="2" customFormat="1" ht="13" x14ac:dyDescent="0.3">
      <c r="A85" s="7">
        <v>70</v>
      </c>
      <c r="B85" s="40">
        <v>12014264</v>
      </c>
      <c r="C85" s="7">
        <v>59056</v>
      </c>
      <c r="D85" s="27" t="s">
        <v>88</v>
      </c>
      <c r="E85" s="26">
        <v>73269090</v>
      </c>
      <c r="F85" s="7">
        <v>154387</v>
      </c>
      <c r="G85" s="29" t="s">
        <v>92</v>
      </c>
      <c r="H85" s="116" t="s">
        <v>29</v>
      </c>
      <c r="I85" s="40" t="s">
        <v>21</v>
      </c>
      <c r="J85" s="25" t="s">
        <v>90</v>
      </c>
      <c r="K85" s="7" t="s">
        <v>91</v>
      </c>
      <c r="L85" s="140">
        <v>46090</v>
      </c>
      <c r="M85" s="148">
        <f>L85+1096</f>
        <v>47186</v>
      </c>
      <c r="N85" s="24" t="str">
        <f t="shared" ca="1" si="5"/>
        <v>Em Uso</v>
      </c>
      <c r="O85" s="165"/>
    </row>
    <row r="86" spans="1:16" s="2" customFormat="1" ht="13" x14ac:dyDescent="0.3">
      <c r="A86" s="7">
        <v>71</v>
      </c>
      <c r="B86" s="40">
        <v>12033054</v>
      </c>
      <c r="C86" s="7">
        <v>202648</v>
      </c>
      <c r="D86" s="27" t="s">
        <v>88</v>
      </c>
      <c r="E86" s="26">
        <v>73269090</v>
      </c>
      <c r="F86" s="7" t="s">
        <v>93</v>
      </c>
      <c r="G86" s="29" t="s">
        <v>92</v>
      </c>
      <c r="H86" s="161" t="s">
        <v>28</v>
      </c>
      <c r="I86" s="40" t="s">
        <v>21</v>
      </c>
      <c r="J86" s="25" t="s">
        <v>90</v>
      </c>
      <c r="K86" s="7" t="s">
        <v>91</v>
      </c>
      <c r="L86" s="140">
        <v>45527</v>
      </c>
      <c r="M86" s="148">
        <f>L86+1096</f>
        <v>46623</v>
      </c>
      <c r="N86" s="24" t="str">
        <f t="shared" ca="1" si="5"/>
        <v>Em Uso</v>
      </c>
      <c r="O86" s="227"/>
    </row>
    <row r="87" spans="1:16" s="2" customFormat="1" ht="13" x14ac:dyDescent="0.3">
      <c r="A87" s="7">
        <v>72</v>
      </c>
      <c r="B87" s="40">
        <v>12014265</v>
      </c>
      <c r="C87" s="7">
        <v>59057</v>
      </c>
      <c r="D87" s="27" t="s">
        <v>88</v>
      </c>
      <c r="E87" s="26">
        <v>73269090</v>
      </c>
      <c r="F87" s="7">
        <v>31291</v>
      </c>
      <c r="G87" s="29" t="s">
        <v>92</v>
      </c>
      <c r="H87" s="112" t="s">
        <v>30</v>
      </c>
      <c r="I87" s="40" t="s">
        <v>21</v>
      </c>
      <c r="J87" s="25" t="s">
        <v>90</v>
      </c>
      <c r="K87" s="7" t="s">
        <v>91</v>
      </c>
      <c r="L87" s="140">
        <v>46172</v>
      </c>
      <c r="M87" s="141">
        <f>IF(K87="12 meses",L87+364,IF(K87="24 meses",L87+729,IF(K87="36 meses",L87+1095)))</f>
        <v>47267</v>
      </c>
      <c r="N87" s="57" t="str">
        <f t="shared" ca="1" si="5"/>
        <v>Em Uso</v>
      </c>
      <c r="O87" s="363"/>
    </row>
    <row r="88" spans="1:16" s="180" customFormat="1" ht="12.75" customHeight="1" thickBot="1" x14ac:dyDescent="0.35">
      <c r="A88" s="7">
        <v>73</v>
      </c>
      <c r="B88" s="171">
        <v>12014266</v>
      </c>
      <c r="C88" s="100">
        <v>59058</v>
      </c>
      <c r="D88" s="27" t="s">
        <v>88</v>
      </c>
      <c r="E88" s="172">
        <v>73269090</v>
      </c>
      <c r="F88" s="170">
        <v>29074970</v>
      </c>
      <c r="G88" s="189" t="s">
        <v>94</v>
      </c>
      <c r="H88" s="173" t="s">
        <v>30</v>
      </c>
      <c r="I88" s="171" t="s">
        <v>21</v>
      </c>
      <c r="J88" s="174" t="s">
        <v>90</v>
      </c>
      <c r="K88" s="170" t="s">
        <v>91</v>
      </c>
      <c r="L88" s="175">
        <v>46172</v>
      </c>
      <c r="M88" s="176">
        <f>IF(K88="12 meses",L88+366,IF(K88="24 meses",L88+731,IF(K88="36 meses",L88+1095)))</f>
        <v>47267</v>
      </c>
      <c r="N88" s="57" t="str">
        <f t="shared" ca="1" si="5"/>
        <v>Em Uso</v>
      </c>
      <c r="O88" s="363"/>
    </row>
    <row r="89" spans="1:16" s="2" customFormat="1" ht="13" x14ac:dyDescent="0.3">
      <c r="A89" s="7">
        <v>74</v>
      </c>
      <c r="B89" s="304">
        <v>12016475</v>
      </c>
      <c r="C89" s="244">
        <v>62222</v>
      </c>
      <c r="D89" s="307" t="s">
        <v>95</v>
      </c>
      <c r="E89" s="27">
        <v>84149010</v>
      </c>
      <c r="F89" s="18">
        <v>153651</v>
      </c>
      <c r="G89" s="200" t="s">
        <v>96</v>
      </c>
      <c r="H89" s="91" t="s">
        <v>35</v>
      </c>
      <c r="I89" s="91" t="s">
        <v>21</v>
      </c>
      <c r="J89" s="92" t="s">
        <v>97</v>
      </c>
      <c r="K89" s="18" t="s">
        <v>23</v>
      </c>
      <c r="L89" s="143">
        <v>45299</v>
      </c>
      <c r="M89" s="144">
        <f>IF(K89="12 meses",L89+366,IF(K89="24 meses",L89+731,IF(K89="36 meses",L89+1096)))</f>
        <v>46030</v>
      </c>
      <c r="N89" s="24" t="str">
        <f t="shared" ca="1" si="5"/>
        <v>Vencido</v>
      </c>
      <c r="O89" s="354" t="s">
        <v>98</v>
      </c>
    </row>
    <row r="90" spans="1:16" s="2" customFormat="1" ht="12.75" customHeight="1" x14ac:dyDescent="0.3">
      <c r="A90" s="7">
        <v>75</v>
      </c>
      <c r="B90" s="305">
        <v>12014342</v>
      </c>
      <c r="C90" s="244"/>
      <c r="D90" s="74" t="s">
        <v>99</v>
      </c>
      <c r="E90" s="26">
        <v>90261019</v>
      </c>
      <c r="F90" s="7" t="s">
        <v>100</v>
      </c>
      <c r="G90" s="29" t="s">
        <v>101</v>
      </c>
      <c r="H90" s="91" t="s">
        <v>35</v>
      </c>
      <c r="I90" s="40" t="s">
        <v>21</v>
      </c>
      <c r="J90" s="25" t="s">
        <v>97</v>
      </c>
      <c r="K90" s="7" t="s">
        <v>23</v>
      </c>
      <c r="L90" s="147">
        <v>45789</v>
      </c>
      <c r="M90" s="148">
        <f>L90+730</f>
        <v>46519</v>
      </c>
      <c r="N90" s="24" t="str">
        <f t="shared" ca="1" si="5"/>
        <v>Em Uso</v>
      </c>
      <c r="O90" s="186"/>
      <c r="P90" s="94"/>
    </row>
    <row r="91" spans="1:16" s="180" customFormat="1" ht="12.75" customHeight="1" thickBot="1" x14ac:dyDescent="0.35">
      <c r="A91" s="7">
        <v>76</v>
      </c>
      <c r="B91" s="306">
        <v>12034622</v>
      </c>
      <c r="C91" s="244">
        <v>202653</v>
      </c>
      <c r="D91" s="74" t="s">
        <v>99</v>
      </c>
      <c r="E91" s="172">
        <v>90261019</v>
      </c>
      <c r="F91" s="170" t="s">
        <v>102</v>
      </c>
      <c r="G91" s="189" t="s">
        <v>103</v>
      </c>
      <c r="H91" s="91" t="s">
        <v>35</v>
      </c>
      <c r="I91" s="171" t="s">
        <v>21</v>
      </c>
      <c r="J91" s="174" t="s">
        <v>97</v>
      </c>
      <c r="K91" s="170" t="s">
        <v>23</v>
      </c>
      <c r="L91" s="202">
        <v>45698</v>
      </c>
      <c r="M91" s="203">
        <f>L91+730</f>
        <v>46428</v>
      </c>
      <c r="N91" s="24" t="str">
        <f t="shared" ca="1" si="5"/>
        <v>Em Uso</v>
      </c>
      <c r="O91" s="186"/>
      <c r="P91" s="179"/>
    </row>
    <row r="92" spans="1:16" s="2" customFormat="1" ht="12.75" customHeight="1" x14ac:dyDescent="0.3">
      <c r="A92" s="7">
        <v>77</v>
      </c>
      <c r="B92" s="304">
        <v>12014343</v>
      </c>
      <c r="C92" s="244"/>
      <c r="D92" s="307" t="s">
        <v>104</v>
      </c>
      <c r="E92" s="27">
        <v>90173090</v>
      </c>
      <c r="F92" s="18" t="s">
        <v>105</v>
      </c>
      <c r="G92" s="110" t="s">
        <v>106</v>
      </c>
      <c r="H92" s="103" t="s">
        <v>20</v>
      </c>
      <c r="I92" s="91" t="s">
        <v>21</v>
      </c>
      <c r="J92" s="92" t="s">
        <v>90</v>
      </c>
      <c r="K92" s="18" t="s">
        <v>23</v>
      </c>
      <c r="L92" s="145">
        <v>45789</v>
      </c>
      <c r="M92" s="146">
        <f>L92+731</f>
        <v>46520</v>
      </c>
      <c r="N92" s="24" t="str">
        <f t="shared" ca="1" si="5"/>
        <v>Em Uso</v>
      </c>
      <c r="O92" s="279" t="s">
        <v>27</v>
      </c>
      <c r="P92" s="94"/>
    </row>
    <row r="93" spans="1:16" s="2" customFormat="1" ht="13" x14ac:dyDescent="0.3">
      <c r="A93" s="7">
        <v>79</v>
      </c>
      <c r="B93" s="91">
        <v>12014172</v>
      </c>
      <c r="C93" s="18">
        <v>59061</v>
      </c>
      <c r="D93" s="26" t="s">
        <v>107</v>
      </c>
      <c r="E93" s="27">
        <v>90318060</v>
      </c>
      <c r="F93" s="18">
        <v>1211828</v>
      </c>
      <c r="G93" s="27" t="s">
        <v>108</v>
      </c>
      <c r="H93" s="105" t="s">
        <v>29</v>
      </c>
      <c r="I93" s="91" t="s">
        <v>21</v>
      </c>
      <c r="J93" s="92" t="s">
        <v>90</v>
      </c>
      <c r="K93" s="18" t="s">
        <v>23</v>
      </c>
      <c r="L93" s="143">
        <v>46177</v>
      </c>
      <c r="M93" s="144">
        <f>IF(K93="12 meses",L93+367,IF(K93="24 meses",L93+730,IF(K93="36 meses",L93+1094)))</f>
        <v>46907</v>
      </c>
      <c r="N93" s="57" t="str">
        <f t="shared" ca="1" si="5"/>
        <v>Em Uso</v>
      </c>
      <c r="O93" s="363"/>
      <c r="P93" s="94"/>
    </row>
    <row r="94" spans="1:16" s="2" customFormat="1" ht="13" x14ac:dyDescent="0.3">
      <c r="A94" s="7">
        <v>80</v>
      </c>
      <c r="B94" s="40">
        <v>12023971</v>
      </c>
      <c r="C94" s="7"/>
      <c r="D94" s="26" t="s">
        <v>109</v>
      </c>
      <c r="E94" s="26">
        <v>90318060</v>
      </c>
      <c r="F94" s="7">
        <v>1187193</v>
      </c>
      <c r="G94" s="29" t="s">
        <v>110</v>
      </c>
      <c r="H94" s="116" t="s">
        <v>29</v>
      </c>
      <c r="I94" s="40" t="s">
        <v>21</v>
      </c>
      <c r="J94" s="25" t="s">
        <v>111</v>
      </c>
      <c r="K94" s="7" t="s">
        <v>23</v>
      </c>
      <c r="L94" s="140">
        <v>45973</v>
      </c>
      <c r="M94" s="141">
        <f>IF(K94="12 meses",L94+365,IF(K94="24 meses",L94+731,IF(K94="36 meses",L94+1095)))</f>
        <v>46704</v>
      </c>
      <c r="N94" s="24" t="str">
        <f t="shared" ca="1" si="5"/>
        <v>Em Uso</v>
      </c>
      <c r="O94" s="169"/>
    </row>
    <row r="95" spans="1:16" s="2" customFormat="1" ht="13" x14ac:dyDescent="0.3">
      <c r="A95" s="7">
        <v>81</v>
      </c>
      <c r="B95" s="40">
        <v>12014236</v>
      </c>
      <c r="C95" s="7">
        <v>59148</v>
      </c>
      <c r="D95" s="26" t="s">
        <v>107</v>
      </c>
      <c r="E95" s="26">
        <v>90318060</v>
      </c>
      <c r="F95" s="7">
        <v>695361</v>
      </c>
      <c r="G95" s="29" t="s">
        <v>112</v>
      </c>
      <c r="H95" s="116" t="s">
        <v>29</v>
      </c>
      <c r="I95" s="40" t="s">
        <v>21</v>
      </c>
      <c r="J95" s="25" t="s">
        <v>111</v>
      </c>
      <c r="K95" s="7" t="s">
        <v>23</v>
      </c>
      <c r="L95" s="140">
        <v>45973</v>
      </c>
      <c r="M95" s="141">
        <f>IF(K95="12 meses",L95+366,IF(K95="24 meses",L95+731,IF(K95="36 meses",L95+1095)))</f>
        <v>46704</v>
      </c>
      <c r="N95" s="24" t="str">
        <f t="shared" ca="1" si="5"/>
        <v>Em Uso</v>
      </c>
      <c r="O95" s="165"/>
    </row>
    <row r="96" spans="1:16" s="2" customFormat="1" ht="13" x14ac:dyDescent="0.3">
      <c r="A96" s="7">
        <v>82</v>
      </c>
      <c r="B96" s="40">
        <v>12014268</v>
      </c>
      <c r="C96" s="7">
        <v>59060</v>
      </c>
      <c r="D96" s="26" t="s">
        <v>113</v>
      </c>
      <c r="E96" s="26">
        <v>90318060</v>
      </c>
      <c r="F96" s="7">
        <v>308093</v>
      </c>
      <c r="G96" s="26" t="s">
        <v>114</v>
      </c>
      <c r="H96" s="116" t="s">
        <v>29</v>
      </c>
      <c r="I96" s="40" t="s">
        <v>21</v>
      </c>
      <c r="J96" s="25" t="s">
        <v>111</v>
      </c>
      <c r="K96" s="7" t="s">
        <v>23</v>
      </c>
      <c r="L96" s="140">
        <v>45238</v>
      </c>
      <c r="M96" s="141">
        <f>IF(K96="12 meses",L96+366,IF(K96="24 meses",L96+730,IF(K96="36 meses",L96+1095)))</f>
        <v>45968</v>
      </c>
      <c r="N96" s="24" t="str">
        <f t="shared" ca="1" si="5"/>
        <v>Vencido</v>
      </c>
      <c r="O96" s="136"/>
    </row>
    <row r="97" spans="1:16" s="180" customFormat="1" ht="13.5" thickBot="1" x14ac:dyDescent="0.35">
      <c r="A97" s="7">
        <v>83</v>
      </c>
      <c r="B97" s="171">
        <v>12014269</v>
      </c>
      <c r="C97" s="170">
        <v>59062</v>
      </c>
      <c r="D97" s="172" t="s">
        <v>115</v>
      </c>
      <c r="E97" s="172">
        <v>90318060</v>
      </c>
      <c r="F97" s="170">
        <v>312806</v>
      </c>
      <c r="G97" s="172" t="s">
        <v>116</v>
      </c>
      <c r="H97" s="188" t="s">
        <v>29</v>
      </c>
      <c r="I97" s="171" t="s">
        <v>21</v>
      </c>
      <c r="J97" s="25" t="s">
        <v>111</v>
      </c>
      <c r="K97" s="170" t="s">
        <v>23</v>
      </c>
      <c r="L97" s="175">
        <v>45974</v>
      </c>
      <c r="M97" s="176">
        <f>IF(K97="12 meses",L97+365,IF(K97="24 meses",L97+731,IF(K97="36 meses",L97+1095)))</f>
        <v>46705</v>
      </c>
      <c r="N97" s="24" t="str">
        <f t="shared" ca="1" si="5"/>
        <v>Em Uso</v>
      </c>
      <c r="O97" s="165"/>
    </row>
    <row r="98" spans="1:16" s="2" customFormat="1" ht="13" x14ac:dyDescent="0.3">
      <c r="A98" s="7">
        <v>84</v>
      </c>
      <c r="B98" s="113">
        <v>12015972</v>
      </c>
      <c r="C98" s="18">
        <v>61806</v>
      </c>
      <c r="D98" s="26" t="s">
        <v>107</v>
      </c>
      <c r="E98" s="27">
        <v>90318060</v>
      </c>
      <c r="F98" s="18">
        <v>1488649</v>
      </c>
      <c r="G98" s="27" t="s">
        <v>108</v>
      </c>
      <c r="H98" s="106" t="s">
        <v>30</v>
      </c>
      <c r="I98" s="91" t="s">
        <v>21</v>
      </c>
      <c r="J98" s="92" t="s">
        <v>90</v>
      </c>
      <c r="K98" s="18" t="s">
        <v>23</v>
      </c>
      <c r="L98" s="143">
        <v>45412</v>
      </c>
      <c r="M98" s="144">
        <f>IF(K98="12 meses",L98+365,IF(K98="24 meses",L98+731,IF(K98="36 meses",L98+1095)))</f>
        <v>46143</v>
      </c>
      <c r="N98" s="24" t="str">
        <f t="shared" ca="1" si="5"/>
        <v>Vencido</v>
      </c>
      <c r="O98" s="355" t="s">
        <v>117</v>
      </c>
    </row>
    <row r="99" spans="1:16" s="2" customFormat="1" ht="13" x14ac:dyDescent="0.3">
      <c r="A99" s="7">
        <v>85</v>
      </c>
      <c r="B99" s="40">
        <v>12015973</v>
      </c>
      <c r="C99" s="7">
        <v>61806</v>
      </c>
      <c r="D99" s="26" t="s">
        <v>109</v>
      </c>
      <c r="E99" s="26">
        <v>90318060</v>
      </c>
      <c r="F99" s="7">
        <v>749612</v>
      </c>
      <c r="G99" s="29" t="s">
        <v>118</v>
      </c>
      <c r="H99" s="112" t="s">
        <v>30</v>
      </c>
      <c r="I99" s="40" t="s">
        <v>21</v>
      </c>
      <c r="J99" s="25" t="s">
        <v>111</v>
      </c>
      <c r="K99" s="7" t="s">
        <v>23</v>
      </c>
      <c r="L99" s="140">
        <v>45810</v>
      </c>
      <c r="M99" s="141">
        <f>IF(K99="12 meses",L99+365,IF(K99="24 meses",L99+730,IF(K99="36 meses",L99+1095)))</f>
        <v>46540</v>
      </c>
      <c r="N99" s="24" t="str">
        <f t="shared" ca="1" si="5"/>
        <v>Em Uso</v>
      </c>
      <c r="O99" s="165"/>
      <c r="P99" s="94"/>
    </row>
    <row r="100" spans="1:16" s="2" customFormat="1" ht="13" x14ac:dyDescent="0.3">
      <c r="A100" s="7">
        <v>86</v>
      </c>
      <c r="B100" s="40">
        <v>12015974</v>
      </c>
      <c r="C100" s="7">
        <v>61806</v>
      </c>
      <c r="D100" s="26" t="s">
        <v>107</v>
      </c>
      <c r="E100" s="26">
        <v>90318060</v>
      </c>
      <c r="F100" s="7">
        <v>744414</v>
      </c>
      <c r="G100" s="29" t="s">
        <v>112</v>
      </c>
      <c r="H100" s="112" t="s">
        <v>30</v>
      </c>
      <c r="I100" s="40" t="s">
        <v>21</v>
      </c>
      <c r="J100" s="25" t="s">
        <v>111</v>
      </c>
      <c r="K100" s="7" t="s">
        <v>23</v>
      </c>
      <c r="L100" s="140">
        <v>45789</v>
      </c>
      <c r="M100" s="141">
        <f>IF(K100="12 meses",L100+365,IF(K100="24 meses",L100+730,IF(K100="36 meses",L100+1095)))</f>
        <v>46519</v>
      </c>
      <c r="N100" s="24" t="str">
        <f t="shared" ca="1" si="5"/>
        <v>Em Uso</v>
      </c>
      <c r="O100" s="165"/>
      <c r="P100" s="94"/>
    </row>
    <row r="101" spans="1:16" s="180" customFormat="1" ht="13.5" thickBot="1" x14ac:dyDescent="0.35">
      <c r="A101" s="7">
        <v>87</v>
      </c>
      <c r="B101" s="171">
        <v>12015975</v>
      </c>
      <c r="C101" s="170">
        <v>61806</v>
      </c>
      <c r="D101" s="172" t="s">
        <v>115</v>
      </c>
      <c r="E101" s="172">
        <v>90318060</v>
      </c>
      <c r="F101" s="170">
        <v>450521</v>
      </c>
      <c r="G101" s="172" t="s">
        <v>116</v>
      </c>
      <c r="H101" s="173" t="s">
        <v>30</v>
      </c>
      <c r="I101" s="171" t="s">
        <v>21</v>
      </c>
      <c r="J101" s="25" t="s">
        <v>111</v>
      </c>
      <c r="K101" s="170" t="s">
        <v>23</v>
      </c>
      <c r="L101" s="175">
        <v>45790</v>
      </c>
      <c r="M101" s="176">
        <f>IF(K101="12 meses",L101+364,IF(K101="24 meses",L101+730,IF(K101="36 meses",L101+1095)))</f>
        <v>46520</v>
      </c>
      <c r="N101" s="24" t="str">
        <f t="shared" ca="1" si="5"/>
        <v>Em Uso</v>
      </c>
      <c r="O101" s="165"/>
      <c r="P101" s="179"/>
    </row>
    <row r="102" spans="1:16" s="2" customFormat="1" ht="13" x14ac:dyDescent="0.3">
      <c r="A102" s="7">
        <v>88</v>
      </c>
      <c r="B102" s="113">
        <v>12014347</v>
      </c>
      <c r="C102" s="18"/>
      <c r="D102" s="26" t="s">
        <v>107</v>
      </c>
      <c r="E102" s="27">
        <v>90318060</v>
      </c>
      <c r="F102" s="18">
        <v>1349722</v>
      </c>
      <c r="G102" s="27" t="s">
        <v>119</v>
      </c>
      <c r="H102" s="103" t="s">
        <v>20</v>
      </c>
      <c r="I102" s="91" t="s">
        <v>21</v>
      </c>
      <c r="J102" s="92" t="s">
        <v>90</v>
      </c>
      <c r="K102" s="18" t="s">
        <v>23</v>
      </c>
      <c r="L102" s="143">
        <v>46055</v>
      </c>
      <c r="M102" s="144">
        <f>IF(K102="12 meses",L102+365,IF(K102="24 meses",L102+731,IF(K102="36 meses",L102+1095)))</f>
        <v>46786</v>
      </c>
      <c r="N102" s="24" t="str">
        <f t="shared" ca="1" si="5"/>
        <v>Em Uso</v>
      </c>
      <c r="O102" s="361"/>
      <c r="P102" s="94"/>
    </row>
    <row r="103" spans="1:16" s="2" customFormat="1" ht="13" x14ac:dyDescent="0.3">
      <c r="A103" s="7">
        <v>89</v>
      </c>
      <c r="B103" s="40">
        <v>12014238</v>
      </c>
      <c r="C103" s="7">
        <v>59150</v>
      </c>
      <c r="D103" s="26" t="s">
        <v>109</v>
      </c>
      <c r="E103" s="26">
        <v>90318060</v>
      </c>
      <c r="F103" s="7">
        <v>693633</v>
      </c>
      <c r="G103" s="29" t="s">
        <v>120</v>
      </c>
      <c r="H103" s="158" t="s">
        <v>20</v>
      </c>
      <c r="I103" s="40" t="s">
        <v>21</v>
      </c>
      <c r="J103" s="25" t="s">
        <v>111</v>
      </c>
      <c r="K103" s="7" t="s">
        <v>23</v>
      </c>
      <c r="L103" s="140">
        <v>45741</v>
      </c>
      <c r="M103" s="141">
        <f>IF(K103="12 meses",L103+365,IF(K103="24 meses",L103+731,IF(K103="36 meses",L103+1095)))</f>
        <v>46472</v>
      </c>
      <c r="N103" s="24" t="str">
        <f t="shared" ca="1" si="5"/>
        <v>Em Uso</v>
      </c>
      <c r="O103" s="165"/>
      <c r="P103" s="94"/>
    </row>
    <row r="104" spans="1:16" s="2" customFormat="1" ht="13" x14ac:dyDescent="0.3">
      <c r="A104" s="100">
        <v>90</v>
      </c>
      <c r="B104" s="122">
        <v>12014271</v>
      </c>
      <c r="C104" s="100">
        <v>59147</v>
      </c>
      <c r="D104" s="101" t="s">
        <v>113</v>
      </c>
      <c r="E104" s="101">
        <v>90318060</v>
      </c>
      <c r="F104" s="100">
        <v>368169</v>
      </c>
      <c r="G104" s="101" t="s">
        <v>121</v>
      </c>
      <c r="H104" s="343" t="s">
        <v>20</v>
      </c>
      <c r="I104" s="122" t="s">
        <v>21</v>
      </c>
      <c r="J104" s="269" t="s">
        <v>111</v>
      </c>
      <c r="K104" s="100" t="s">
        <v>23</v>
      </c>
      <c r="L104" s="216">
        <v>45741</v>
      </c>
      <c r="M104" s="217">
        <f>IF(K104="12 meses",L104+364,IF(K104="24 meses",L104+730,IF(K104="36 meses",L104+1095)))</f>
        <v>46471</v>
      </c>
      <c r="N104" s="218" t="str">
        <f t="shared" ca="1" si="5"/>
        <v>Em Uso</v>
      </c>
      <c r="O104" s="279"/>
      <c r="P104" s="94"/>
    </row>
    <row r="105" spans="1:16" s="250" customFormat="1" ht="13" x14ac:dyDescent="0.3">
      <c r="A105" s="244">
        <v>91</v>
      </c>
      <c r="B105" s="243">
        <v>12014350</v>
      </c>
      <c r="C105" s="244"/>
      <c r="D105" s="245" t="s">
        <v>115</v>
      </c>
      <c r="E105" s="245">
        <v>90318060</v>
      </c>
      <c r="F105" s="244">
        <v>373311</v>
      </c>
      <c r="G105" s="245" t="s">
        <v>122</v>
      </c>
      <c r="H105" s="326" t="s">
        <v>20</v>
      </c>
      <c r="I105" s="243" t="s">
        <v>21</v>
      </c>
      <c r="J105" s="251" t="s">
        <v>111</v>
      </c>
      <c r="K105" s="244" t="s">
        <v>23</v>
      </c>
      <c r="L105" s="252">
        <v>45741</v>
      </c>
      <c r="M105" s="253">
        <f>IF(K105="12 meses",L105+365,IF(K105="24 meses",L105+730,IF(K105="36 meses",L105+1095)))</f>
        <v>46471</v>
      </c>
      <c r="N105" s="254" t="str">
        <f t="shared" ca="1" si="5"/>
        <v>Em Uso</v>
      </c>
      <c r="O105" s="323"/>
      <c r="P105" s="340"/>
    </row>
    <row r="106" spans="1:16" s="2" customFormat="1" ht="13" x14ac:dyDescent="0.3">
      <c r="A106" s="18">
        <v>92</v>
      </c>
      <c r="B106" s="113">
        <v>12018798</v>
      </c>
      <c r="C106" s="18"/>
      <c r="D106" s="27" t="s">
        <v>107</v>
      </c>
      <c r="E106" s="27">
        <v>90318060</v>
      </c>
      <c r="F106" s="18">
        <v>1520506</v>
      </c>
      <c r="G106" s="27" t="s">
        <v>119</v>
      </c>
      <c r="H106" s="111" t="s">
        <v>26</v>
      </c>
      <c r="I106" s="40" t="s">
        <v>21</v>
      </c>
      <c r="J106" s="92" t="s">
        <v>90</v>
      </c>
      <c r="K106" s="18" t="s">
        <v>23</v>
      </c>
      <c r="L106" s="143">
        <v>46102</v>
      </c>
      <c r="M106" s="144">
        <f>IF(K106="12 meses",L106+365,IF(K106="24 meses",L106+730,IF(K106="36 meses",L106+1095)))</f>
        <v>46832</v>
      </c>
      <c r="N106" s="58" t="str">
        <f t="shared" ca="1" si="5"/>
        <v>Em Uso</v>
      </c>
      <c r="O106" s="165" t="s">
        <v>27</v>
      </c>
      <c r="P106" s="94"/>
    </row>
    <row r="107" spans="1:16" s="2" customFormat="1" ht="13" x14ac:dyDescent="0.3">
      <c r="A107" s="7">
        <v>93</v>
      </c>
      <c r="B107" s="159">
        <v>12018800</v>
      </c>
      <c r="C107" s="7"/>
      <c r="D107" s="26" t="s">
        <v>109</v>
      </c>
      <c r="E107" s="26">
        <v>90318060</v>
      </c>
      <c r="F107" s="7">
        <v>789097</v>
      </c>
      <c r="G107" s="29" t="s">
        <v>110</v>
      </c>
      <c r="H107" s="111" t="s">
        <v>26</v>
      </c>
      <c r="I107" s="40" t="s">
        <v>21</v>
      </c>
      <c r="J107" s="25" t="s">
        <v>111</v>
      </c>
      <c r="K107" s="7" t="s">
        <v>23</v>
      </c>
      <c r="L107" s="140">
        <v>46204</v>
      </c>
      <c r="M107" s="141">
        <f>IF(K107="12 meses",L107+365,IF(K107="24 meses",L107+731,IF(K107="36 meses",L107+1095)))</f>
        <v>46935</v>
      </c>
      <c r="N107" s="57" t="str">
        <f t="shared" ca="1" si="5"/>
        <v>Em Uso</v>
      </c>
      <c r="O107" s="165" t="s">
        <v>27</v>
      </c>
      <c r="P107" s="94"/>
    </row>
    <row r="108" spans="1:16" s="180" customFormat="1" ht="13.5" thickBot="1" x14ac:dyDescent="0.35">
      <c r="A108" s="7">
        <v>94</v>
      </c>
      <c r="B108" s="182">
        <v>12018801</v>
      </c>
      <c r="C108" s="170"/>
      <c r="D108" s="172" t="s">
        <v>115</v>
      </c>
      <c r="E108" s="172">
        <v>90318060</v>
      </c>
      <c r="F108" s="170">
        <v>506959</v>
      </c>
      <c r="G108" s="172" t="s">
        <v>123</v>
      </c>
      <c r="H108" s="111" t="s">
        <v>26</v>
      </c>
      <c r="I108" s="40" t="s">
        <v>21</v>
      </c>
      <c r="J108" s="25" t="s">
        <v>111</v>
      </c>
      <c r="K108" s="170" t="s">
        <v>23</v>
      </c>
      <c r="L108" s="175">
        <v>46218</v>
      </c>
      <c r="M108" s="176">
        <f>IF(K108="12 meses",L108+364,IF(K108="24 meses",L108+731,IF(K108="36 meses",L108+1095)))</f>
        <v>46949</v>
      </c>
      <c r="N108" s="57" t="str">
        <f t="shared" ca="1" si="5"/>
        <v>Em Uso</v>
      </c>
      <c r="O108" s="165" t="s">
        <v>27</v>
      </c>
    </row>
    <row r="109" spans="1:16" s="2" customFormat="1" ht="13" x14ac:dyDescent="0.3">
      <c r="A109" s="7">
        <v>95</v>
      </c>
      <c r="B109" s="240">
        <v>12034575</v>
      </c>
      <c r="C109" s="123"/>
      <c r="D109" s="120" t="s">
        <v>107</v>
      </c>
      <c r="E109" s="120">
        <v>90318060</v>
      </c>
      <c r="F109" s="123">
        <v>1282071</v>
      </c>
      <c r="G109" s="120" t="s">
        <v>124</v>
      </c>
      <c r="H109" s="115" t="s">
        <v>28</v>
      </c>
      <c r="I109" s="91" t="s">
        <v>21</v>
      </c>
      <c r="J109" s="25" t="s">
        <v>111</v>
      </c>
      <c r="K109" s="18" t="s">
        <v>23</v>
      </c>
      <c r="L109" s="143">
        <v>45742</v>
      </c>
      <c r="M109" s="144">
        <f>IF(K109="12 meses",L109+365,IF(K109="24 meses",L109+730,IF(K109="36 meses",L109+1095)))</f>
        <v>46472</v>
      </c>
      <c r="N109" s="24" t="str">
        <f t="shared" ca="1" si="5"/>
        <v>Em Uso</v>
      </c>
      <c r="O109" s="169"/>
    </row>
    <row r="110" spans="1:16" s="2" customFormat="1" ht="13" x14ac:dyDescent="0.3">
      <c r="A110" s="7">
        <v>96</v>
      </c>
      <c r="B110" s="243">
        <v>12035267</v>
      </c>
      <c r="C110" s="244"/>
      <c r="D110" s="26" t="s">
        <v>107</v>
      </c>
      <c r="E110" s="245"/>
      <c r="F110" s="244">
        <v>597883</v>
      </c>
      <c r="G110" s="245" t="s">
        <v>119</v>
      </c>
      <c r="H110" s="246" t="s">
        <v>28</v>
      </c>
      <c r="I110" s="91" t="s">
        <v>21</v>
      </c>
      <c r="J110" s="92" t="s">
        <v>90</v>
      </c>
      <c r="K110" s="18" t="s">
        <v>23</v>
      </c>
      <c r="L110" s="143">
        <v>45833</v>
      </c>
      <c r="M110" s="144">
        <f>IF(K110="12 meses",L110+365,IF(K110="24 meses",L110+730,IF(K110="36 meses",L110+1095)))</f>
        <v>46563</v>
      </c>
      <c r="N110" s="24" t="str">
        <f t="shared" ca="1" si="5"/>
        <v>Em Uso</v>
      </c>
      <c r="O110" s="132" t="s">
        <v>125</v>
      </c>
    </row>
    <row r="111" spans="1:16" s="2" customFormat="1" ht="13" x14ac:dyDescent="0.3">
      <c r="A111" s="7">
        <v>97</v>
      </c>
      <c r="B111" s="243">
        <v>12035266</v>
      </c>
      <c r="C111" s="244"/>
      <c r="D111" s="245" t="s">
        <v>107</v>
      </c>
      <c r="E111" s="245">
        <v>90318060</v>
      </c>
      <c r="F111" s="244">
        <v>636810</v>
      </c>
      <c r="G111" s="245" t="s">
        <v>122</v>
      </c>
      <c r="H111" s="246" t="s">
        <v>28</v>
      </c>
      <c r="I111" s="91" t="s">
        <v>21</v>
      </c>
      <c r="J111" s="25" t="s">
        <v>111</v>
      </c>
      <c r="K111" s="18" t="s">
        <v>23</v>
      </c>
      <c r="L111" s="143">
        <v>45754</v>
      </c>
      <c r="M111" s="144">
        <f>IF(K111="12 meses",L111+365,IF(K111="24 meses",L111+730,IF(K111="36 meses",L111+1095)))</f>
        <v>46484</v>
      </c>
      <c r="N111" s="24" t="str">
        <f t="shared" ca="1" si="5"/>
        <v>Em Uso</v>
      </c>
      <c r="O111" s="165"/>
    </row>
    <row r="112" spans="1:16" s="2" customFormat="1" ht="13.5" thickBot="1" x14ac:dyDescent="0.35">
      <c r="A112" s="7">
        <v>98</v>
      </c>
      <c r="B112" s="247">
        <v>12035265</v>
      </c>
      <c r="C112" s="248"/>
      <c r="D112" s="249" t="s">
        <v>107</v>
      </c>
      <c r="E112" s="249">
        <v>90318060</v>
      </c>
      <c r="F112" s="248">
        <v>1262258</v>
      </c>
      <c r="G112" s="242" t="s">
        <v>110</v>
      </c>
      <c r="H112" s="215" t="s">
        <v>28</v>
      </c>
      <c r="I112" s="121" t="s">
        <v>21</v>
      </c>
      <c r="J112" s="25" t="s">
        <v>111</v>
      </c>
      <c r="K112" s="118" t="s">
        <v>23</v>
      </c>
      <c r="L112" s="222">
        <v>45742</v>
      </c>
      <c r="M112" s="223">
        <f>IF(K112="12 meses",L112+365,IF(K112="24 meses",L112+730,IF(K112="36 meses",L112+1095)))</f>
        <v>46472</v>
      </c>
      <c r="N112" s="24" t="str">
        <f t="shared" ca="1" si="5"/>
        <v>Em Uso</v>
      </c>
      <c r="O112" s="165"/>
    </row>
    <row r="113" spans="1:16" s="2" customFormat="1" ht="13" x14ac:dyDescent="0.3">
      <c r="A113" s="7">
        <v>99</v>
      </c>
      <c r="B113" s="91">
        <v>12014273</v>
      </c>
      <c r="C113" s="18">
        <v>59065</v>
      </c>
      <c r="D113" s="241" t="s">
        <v>126</v>
      </c>
      <c r="E113" s="27">
        <v>91029900</v>
      </c>
      <c r="F113" s="18"/>
      <c r="G113" s="110" t="s">
        <v>127</v>
      </c>
      <c r="H113" s="111" t="s">
        <v>26</v>
      </c>
      <c r="I113" s="40" t="s">
        <v>21</v>
      </c>
      <c r="J113" s="92" t="s">
        <v>128</v>
      </c>
      <c r="K113" s="18" t="s">
        <v>84</v>
      </c>
      <c r="L113" s="145">
        <v>46056</v>
      </c>
      <c r="M113" s="146">
        <f>L113+365</f>
        <v>46421</v>
      </c>
      <c r="N113" s="24" t="str">
        <f t="shared" ca="1" si="5"/>
        <v>Em Uso</v>
      </c>
      <c r="O113" s="165" t="s">
        <v>27</v>
      </c>
    </row>
    <row r="114" spans="1:16" s="2" customFormat="1" ht="13" x14ac:dyDescent="0.3">
      <c r="A114" s="7">
        <v>100</v>
      </c>
      <c r="B114" s="159">
        <v>12014275</v>
      </c>
      <c r="C114" s="7">
        <v>59067</v>
      </c>
      <c r="D114" s="162" t="s">
        <v>126</v>
      </c>
      <c r="E114" s="79">
        <v>91029900</v>
      </c>
      <c r="F114" s="78" t="s">
        <v>129</v>
      </c>
      <c r="G114" s="303" t="s">
        <v>127</v>
      </c>
      <c r="H114" s="302" t="s">
        <v>28</v>
      </c>
      <c r="I114" s="88" t="s">
        <v>21</v>
      </c>
      <c r="J114" s="25" t="s">
        <v>128</v>
      </c>
      <c r="K114" s="7" t="s">
        <v>84</v>
      </c>
      <c r="L114" s="147">
        <v>45966</v>
      </c>
      <c r="M114" s="141">
        <f>IF(K114="12 meses",L114+365,IF(K114="24 meses",L114+730,IF(K114="36 meses",L114+1095)))</f>
        <v>46331</v>
      </c>
      <c r="N114" s="24" t="str">
        <f t="shared" ca="1" si="5"/>
        <v>Sol. Cal.</v>
      </c>
      <c r="O114" s="165"/>
    </row>
    <row r="115" spans="1:16" s="2" customFormat="1" ht="13" x14ac:dyDescent="0.3">
      <c r="A115" s="7">
        <v>101</v>
      </c>
      <c r="B115" s="40">
        <v>12016165</v>
      </c>
      <c r="C115" s="7">
        <v>61851</v>
      </c>
      <c r="D115" s="71" t="s">
        <v>126</v>
      </c>
      <c r="E115" s="26">
        <v>91022900</v>
      </c>
      <c r="F115" s="7">
        <v>58043</v>
      </c>
      <c r="G115" s="12" t="s">
        <v>130</v>
      </c>
      <c r="H115" s="266" t="s">
        <v>30</v>
      </c>
      <c r="I115" s="88" t="s">
        <v>21</v>
      </c>
      <c r="J115" s="25" t="s">
        <v>128</v>
      </c>
      <c r="K115" s="7" t="s">
        <v>84</v>
      </c>
      <c r="L115" s="140">
        <v>46056</v>
      </c>
      <c r="M115" s="141">
        <f>IF(K115="12 meses",L115+365,IF(K115="24 meses",L115+734,IF(K115="36 meses",L115+1096)))</f>
        <v>46421</v>
      </c>
      <c r="N115" s="24" t="str">
        <f t="shared" ca="1" si="5"/>
        <v>Em Uso</v>
      </c>
      <c r="O115" s="361"/>
    </row>
    <row r="116" spans="1:16" s="2" customFormat="1" ht="13" x14ac:dyDescent="0.3">
      <c r="A116" s="7">
        <v>102</v>
      </c>
      <c r="B116" s="40">
        <v>12016166</v>
      </c>
      <c r="C116" s="7">
        <v>61852</v>
      </c>
      <c r="D116" s="71" t="s">
        <v>126</v>
      </c>
      <c r="E116" s="26">
        <v>91022900</v>
      </c>
      <c r="F116" s="7">
        <v>58048</v>
      </c>
      <c r="G116" s="29" t="s">
        <v>130</v>
      </c>
      <c r="H116" s="105" t="s">
        <v>29</v>
      </c>
      <c r="I116" s="40" t="s">
        <v>21</v>
      </c>
      <c r="J116" s="25" t="s">
        <v>128</v>
      </c>
      <c r="K116" s="7" t="s">
        <v>84</v>
      </c>
      <c r="L116" s="140">
        <v>46128</v>
      </c>
      <c r="M116" s="141">
        <f>IF(K116="12 meses",L116+365,IF(K116="24 meses",L116+732,IF(K116="36 meses",L116+1095)))</f>
        <v>46493</v>
      </c>
      <c r="N116" s="57" t="str">
        <f t="shared" ca="1" si="5"/>
        <v>Em Uso</v>
      </c>
      <c r="O116" s="363"/>
      <c r="P116" s="94"/>
    </row>
    <row r="117" spans="1:16" s="2" customFormat="1" ht="13" x14ac:dyDescent="0.3">
      <c r="A117" s="100">
        <v>103</v>
      </c>
      <c r="B117" s="122">
        <v>12016167</v>
      </c>
      <c r="C117" s="100">
        <v>61853</v>
      </c>
      <c r="D117" s="341" t="s">
        <v>126</v>
      </c>
      <c r="E117" s="101">
        <v>91022900</v>
      </c>
      <c r="F117" s="100">
        <v>58052</v>
      </c>
      <c r="G117" s="267" t="s">
        <v>130</v>
      </c>
      <c r="H117" s="122" t="s">
        <v>131</v>
      </c>
      <c r="I117" s="342" t="s">
        <v>132</v>
      </c>
      <c r="J117" s="269" t="s">
        <v>128</v>
      </c>
      <c r="K117" s="100" t="s">
        <v>84</v>
      </c>
      <c r="L117" s="216">
        <v>46128</v>
      </c>
      <c r="M117" s="217">
        <f>IF(K117="12 meses",L117+365,IF(K117="24 meses",L117+730,IF(K117="36 meses",L117+1093)))</f>
        <v>46493</v>
      </c>
      <c r="N117" s="218" t="str">
        <f t="shared" ca="1" si="5"/>
        <v>Em Uso</v>
      </c>
      <c r="O117" s="363" t="s">
        <v>133</v>
      </c>
      <c r="P117" s="94"/>
    </row>
    <row r="118" spans="1:16" s="250" customFormat="1" ht="13" x14ac:dyDescent="0.3">
      <c r="A118" s="244">
        <v>104</v>
      </c>
      <c r="B118" s="243">
        <v>12016168</v>
      </c>
      <c r="C118" s="244">
        <v>61854</v>
      </c>
      <c r="D118" s="339" t="s">
        <v>126</v>
      </c>
      <c r="E118" s="245">
        <v>91022900</v>
      </c>
      <c r="F118" s="244">
        <v>58053</v>
      </c>
      <c r="G118" s="250" t="s">
        <v>130</v>
      </c>
      <c r="H118" s="326" t="s">
        <v>20</v>
      </c>
      <c r="I118" s="243" t="s">
        <v>21</v>
      </c>
      <c r="J118" s="251" t="s">
        <v>128</v>
      </c>
      <c r="K118" s="244" t="s">
        <v>84</v>
      </c>
      <c r="L118" s="252">
        <v>46056</v>
      </c>
      <c r="M118" s="253">
        <f>IF(K118="12 meses",L118+365,IF(K118="24 meses",L118+731,IF(K118="36 meses",L118+1095)))</f>
        <v>46421</v>
      </c>
      <c r="N118" s="254" t="str">
        <f t="shared" ca="1" si="5"/>
        <v>Em Uso</v>
      </c>
      <c r="O118" s="363"/>
      <c r="P118" s="340"/>
    </row>
    <row r="119" spans="1:16" s="2" customFormat="1" ht="14" x14ac:dyDescent="0.3">
      <c r="A119" s="18">
        <v>107</v>
      </c>
      <c r="B119" s="91">
        <v>12014287</v>
      </c>
      <c r="C119" s="18">
        <v>59080</v>
      </c>
      <c r="D119" s="27" t="s">
        <v>134</v>
      </c>
      <c r="E119" s="27" t="s">
        <v>135</v>
      </c>
      <c r="F119" s="18" t="s">
        <v>136</v>
      </c>
      <c r="G119" s="160" t="s">
        <v>137</v>
      </c>
      <c r="H119" s="91" t="s">
        <v>131</v>
      </c>
      <c r="I119" s="91" t="s">
        <v>21</v>
      </c>
      <c r="J119" s="92" t="s">
        <v>90</v>
      </c>
      <c r="K119" s="18" t="s">
        <v>23</v>
      </c>
      <c r="L119" s="145">
        <v>45792</v>
      </c>
      <c r="M119" s="146">
        <f>L119+730</f>
        <v>46522</v>
      </c>
      <c r="N119" s="23" t="str">
        <f t="shared" ca="1" si="5"/>
        <v>Em Uso</v>
      </c>
      <c r="O119" s="169" t="s">
        <v>27</v>
      </c>
      <c r="P119" s="95"/>
    </row>
    <row r="120" spans="1:16" s="2" customFormat="1" ht="15" customHeight="1" x14ac:dyDescent="0.3">
      <c r="A120" s="7">
        <v>109</v>
      </c>
      <c r="B120" s="91">
        <v>12014288</v>
      </c>
      <c r="C120" s="18">
        <v>68215</v>
      </c>
      <c r="D120" s="27" t="s">
        <v>138</v>
      </c>
      <c r="E120" s="27">
        <v>90178090</v>
      </c>
      <c r="F120" s="18">
        <v>520</v>
      </c>
      <c r="G120" s="160" t="s">
        <v>139</v>
      </c>
      <c r="H120" s="111" t="s">
        <v>26</v>
      </c>
      <c r="I120" s="40" t="s">
        <v>21</v>
      </c>
      <c r="J120" s="92" t="s">
        <v>90</v>
      </c>
      <c r="K120" s="18" t="s">
        <v>23</v>
      </c>
      <c r="L120" s="145">
        <v>46052</v>
      </c>
      <c r="M120" s="144">
        <f t="shared" ref="M120:M133" si="6">IF(K120="12 meses",L120+365,IF(K120="24 meses",L120+731,IF(K120="36 meses",L120+1095)))</f>
        <v>46783</v>
      </c>
      <c r="N120" s="24" t="str">
        <f t="shared" ca="1" si="5"/>
        <v>Em Uso</v>
      </c>
      <c r="O120" s="165" t="s">
        <v>27</v>
      </c>
      <c r="P120" s="94"/>
    </row>
    <row r="121" spans="1:16" s="2" customFormat="1" ht="12.75" customHeight="1" x14ac:dyDescent="0.3">
      <c r="A121" s="7">
        <v>110</v>
      </c>
      <c r="B121" s="40">
        <v>12014289</v>
      </c>
      <c r="C121" s="7">
        <v>68216</v>
      </c>
      <c r="D121" s="26" t="s">
        <v>138</v>
      </c>
      <c r="E121" s="26">
        <v>90178090</v>
      </c>
      <c r="F121" s="7">
        <v>502</v>
      </c>
      <c r="G121" s="29" t="s">
        <v>139</v>
      </c>
      <c r="H121" s="158" t="s">
        <v>20</v>
      </c>
      <c r="I121" s="40" t="s">
        <v>21</v>
      </c>
      <c r="J121" s="25" t="s">
        <v>90</v>
      </c>
      <c r="K121" s="7" t="s">
        <v>23</v>
      </c>
      <c r="L121" s="147">
        <v>46052</v>
      </c>
      <c r="M121" s="141">
        <f t="shared" si="6"/>
        <v>46783</v>
      </c>
      <c r="N121" s="24" t="str">
        <f t="shared" ca="1" si="5"/>
        <v>Em Uso</v>
      </c>
      <c r="O121" s="361"/>
    </row>
    <row r="122" spans="1:16" s="97" customFormat="1" ht="13" customHeight="1" thickBot="1" x14ac:dyDescent="0.35">
      <c r="A122" s="7">
        <v>111</v>
      </c>
      <c r="B122" s="182">
        <v>12018985</v>
      </c>
      <c r="C122" s="170"/>
      <c r="D122" s="172" t="s">
        <v>138</v>
      </c>
      <c r="E122" s="172">
        <v>90178090</v>
      </c>
      <c r="F122" s="170"/>
      <c r="G122" s="189" t="s">
        <v>139</v>
      </c>
      <c r="H122" s="40" t="s">
        <v>35</v>
      </c>
      <c r="I122" s="171" t="s">
        <v>21</v>
      </c>
      <c r="J122" s="174" t="s">
        <v>90</v>
      </c>
      <c r="K122" s="170" t="s">
        <v>23</v>
      </c>
      <c r="L122" s="202">
        <v>45407</v>
      </c>
      <c r="M122" s="176">
        <f t="shared" si="6"/>
        <v>46138</v>
      </c>
      <c r="N122" s="57" t="str">
        <f t="shared" ca="1" si="5"/>
        <v>Vencido</v>
      </c>
      <c r="O122" s="322"/>
      <c r="P122" s="204"/>
    </row>
    <row r="123" spans="1:16" ht="13" customHeight="1" x14ac:dyDescent="0.3">
      <c r="A123" s="7">
        <v>112</v>
      </c>
      <c r="B123" s="91">
        <v>12014290</v>
      </c>
      <c r="C123" s="18">
        <v>59084</v>
      </c>
      <c r="D123" s="27" t="s">
        <v>140</v>
      </c>
      <c r="E123" s="27">
        <v>90249000</v>
      </c>
      <c r="F123" s="18">
        <v>2022</v>
      </c>
      <c r="G123" s="110" t="s">
        <v>141</v>
      </c>
      <c r="H123" s="103" t="s">
        <v>20</v>
      </c>
      <c r="I123" s="91" t="s">
        <v>21</v>
      </c>
      <c r="J123" s="92" t="s">
        <v>22</v>
      </c>
      <c r="K123" s="18" t="s">
        <v>23</v>
      </c>
      <c r="L123" s="143">
        <v>45407</v>
      </c>
      <c r="M123" s="144">
        <f t="shared" si="6"/>
        <v>46138</v>
      </c>
      <c r="N123" s="57" t="str">
        <f t="shared" ca="1" si="5"/>
        <v>Vencido</v>
      </c>
      <c r="O123" s="347" t="s">
        <v>24</v>
      </c>
      <c r="P123" s="87"/>
    </row>
    <row r="124" spans="1:16" s="2" customFormat="1" ht="13" x14ac:dyDescent="0.3">
      <c r="A124" s="7">
        <v>113</v>
      </c>
      <c r="B124" s="40">
        <v>12014291</v>
      </c>
      <c r="C124" s="7">
        <v>59085</v>
      </c>
      <c r="D124" s="26" t="s">
        <v>140</v>
      </c>
      <c r="E124" s="26">
        <v>90249000</v>
      </c>
      <c r="F124" s="7">
        <v>456</v>
      </c>
      <c r="G124" s="29" t="s">
        <v>142</v>
      </c>
      <c r="H124" s="111" t="s">
        <v>26</v>
      </c>
      <c r="I124" s="40" t="s">
        <v>21</v>
      </c>
      <c r="J124" s="25" t="s">
        <v>22</v>
      </c>
      <c r="K124" s="7" t="s">
        <v>23</v>
      </c>
      <c r="L124" s="140">
        <v>45799</v>
      </c>
      <c r="M124" s="141">
        <f t="shared" si="6"/>
        <v>46530</v>
      </c>
      <c r="N124" s="24" t="str">
        <f t="shared" ca="1" si="5"/>
        <v>Em Uso</v>
      </c>
      <c r="O124" s="169" t="s">
        <v>143</v>
      </c>
      <c r="P124" s="87"/>
    </row>
    <row r="125" spans="1:16" s="2" customFormat="1" ht="13" x14ac:dyDescent="0.3">
      <c r="A125" s="7">
        <v>114</v>
      </c>
      <c r="B125" s="40">
        <v>12014292</v>
      </c>
      <c r="C125" s="7">
        <v>59086</v>
      </c>
      <c r="D125" s="26" t="s">
        <v>140</v>
      </c>
      <c r="E125" s="26">
        <v>90249000</v>
      </c>
      <c r="F125" s="7">
        <v>2104</v>
      </c>
      <c r="G125" s="29" t="s">
        <v>142</v>
      </c>
      <c r="H125" s="116" t="s">
        <v>29</v>
      </c>
      <c r="I125" s="40" t="s">
        <v>21</v>
      </c>
      <c r="J125" s="25" t="s">
        <v>22</v>
      </c>
      <c r="K125" s="7" t="s">
        <v>23</v>
      </c>
      <c r="L125" s="140">
        <v>45407</v>
      </c>
      <c r="M125" s="141">
        <f t="shared" si="6"/>
        <v>46138</v>
      </c>
      <c r="N125" s="24" t="str">
        <f t="shared" ca="1" si="5"/>
        <v>Vencido</v>
      </c>
      <c r="O125" s="347" t="s">
        <v>24</v>
      </c>
    </row>
    <row r="126" spans="1:16" s="180" customFormat="1" ht="12.75" customHeight="1" thickBot="1" x14ac:dyDescent="0.35">
      <c r="A126" s="7">
        <v>115</v>
      </c>
      <c r="B126" s="40">
        <v>12014293</v>
      </c>
      <c r="C126" s="7">
        <v>59087</v>
      </c>
      <c r="D126" s="26" t="s">
        <v>140</v>
      </c>
      <c r="E126" s="26">
        <v>90249000</v>
      </c>
      <c r="F126" s="7">
        <v>1049</v>
      </c>
      <c r="G126" s="29" t="s">
        <v>144</v>
      </c>
      <c r="H126" s="266" t="s">
        <v>30</v>
      </c>
      <c r="I126" s="40" t="s">
        <v>21</v>
      </c>
      <c r="J126" s="25" t="s">
        <v>22</v>
      </c>
      <c r="K126" s="7" t="s">
        <v>23</v>
      </c>
      <c r="L126" s="140">
        <v>45799</v>
      </c>
      <c r="M126" s="141">
        <f t="shared" si="6"/>
        <v>46530</v>
      </c>
      <c r="N126" s="24" t="str">
        <f t="shared" ca="1" si="5"/>
        <v>Em Uso</v>
      </c>
      <c r="O126" s="165" t="s">
        <v>27</v>
      </c>
    </row>
    <row r="127" spans="1:16" s="2" customFormat="1" ht="12.75" customHeight="1" x14ac:dyDescent="0.3">
      <c r="A127" s="7">
        <v>116</v>
      </c>
      <c r="B127" s="122">
        <v>12038642</v>
      </c>
      <c r="C127" s="100">
        <v>202073</v>
      </c>
      <c r="D127" s="101" t="s">
        <v>140</v>
      </c>
      <c r="E127" s="101">
        <v>90249000</v>
      </c>
      <c r="F127" s="100">
        <v>5005</v>
      </c>
      <c r="G127" s="267" t="s">
        <v>142</v>
      </c>
      <c r="H127" s="268" t="s">
        <v>30</v>
      </c>
      <c r="I127" s="122" t="s">
        <v>21</v>
      </c>
      <c r="J127" s="269" t="s">
        <v>22</v>
      </c>
      <c r="K127" s="100" t="s">
        <v>23</v>
      </c>
      <c r="L127" s="216">
        <v>45046</v>
      </c>
      <c r="M127" s="217">
        <f t="shared" si="6"/>
        <v>45777</v>
      </c>
      <c r="N127" s="218" t="str">
        <f t="shared" ca="1" si="5"/>
        <v>Vencido</v>
      </c>
      <c r="O127" s="355" t="s">
        <v>24</v>
      </c>
    </row>
    <row r="128" spans="1:16" s="180" customFormat="1" ht="12.75" customHeight="1" thickBot="1" x14ac:dyDescent="0.35">
      <c r="A128" s="17">
        <v>117</v>
      </c>
      <c r="B128" s="121">
        <v>12038643</v>
      </c>
      <c r="C128" s="118">
        <v>202074</v>
      </c>
      <c r="D128" s="270" t="s">
        <v>140</v>
      </c>
      <c r="E128" s="270">
        <v>90249000</v>
      </c>
      <c r="F128" s="118">
        <v>5006</v>
      </c>
      <c r="G128" s="270" t="s">
        <v>142</v>
      </c>
      <c r="H128" s="271" t="s">
        <v>28</v>
      </c>
      <c r="I128" s="121" t="s">
        <v>21</v>
      </c>
      <c r="J128" s="119" t="s">
        <v>22</v>
      </c>
      <c r="K128" s="118" t="s">
        <v>23</v>
      </c>
      <c r="L128" s="272">
        <v>45046</v>
      </c>
      <c r="M128" s="223">
        <f t="shared" si="6"/>
        <v>45777</v>
      </c>
      <c r="N128" s="300" t="str">
        <f t="shared" ca="1" si="5"/>
        <v>Vencido</v>
      </c>
      <c r="O128" s="347" t="s">
        <v>24</v>
      </c>
    </row>
    <row r="129" spans="1:16" s="2" customFormat="1" ht="13" x14ac:dyDescent="0.3">
      <c r="A129" s="7">
        <v>118</v>
      </c>
      <c r="B129" s="113">
        <v>12014338</v>
      </c>
      <c r="C129" s="18">
        <v>59134</v>
      </c>
      <c r="D129" s="26" t="s">
        <v>145</v>
      </c>
      <c r="E129" s="27">
        <v>90172000</v>
      </c>
      <c r="F129" s="125" t="s">
        <v>146</v>
      </c>
      <c r="G129" s="110" t="s">
        <v>147</v>
      </c>
      <c r="H129" s="115" t="s">
        <v>28</v>
      </c>
      <c r="I129" s="91" t="s">
        <v>21</v>
      </c>
      <c r="J129" s="92" t="s">
        <v>56</v>
      </c>
      <c r="K129" s="18" t="s">
        <v>23</v>
      </c>
      <c r="L129" s="143">
        <v>45519</v>
      </c>
      <c r="M129" s="144">
        <f t="shared" si="6"/>
        <v>46250</v>
      </c>
      <c r="N129" s="23" t="str">
        <f t="shared" ca="1" si="5"/>
        <v>Vencido</v>
      </c>
      <c r="O129" s="358" t="s">
        <v>148</v>
      </c>
    </row>
    <row r="130" spans="1:16" s="2" customFormat="1" ht="13" customHeight="1" x14ac:dyDescent="0.3">
      <c r="A130" s="7">
        <v>119</v>
      </c>
      <c r="B130" s="159">
        <v>12014339</v>
      </c>
      <c r="C130" s="7">
        <v>59135</v>
      </c>
      <c r="D130" s="26" t="s">
        <v>145</v>
      </c>
      <c r="E130" s="26">
        <v>90172000</v>
      </c>
      <c r="F130" s="36" t="s">
        <v>149</v>
      </c>
      <c r="G130" s="29" t="s">
        <v>147</v>
      </c>
      <c r="H130" s="116" t="s">
        <v>29</v>
      </c>
      <c r="I130" s="40" t="s">
        <v>21</v>
      </c>
      <c r="J130" s="25" t="s">
        <v>56</v>
      </c>
      <c r="K130" s="7" t="s">
        <v>23</v>
      </c>
      <c r="L130" s="140">
        <v>45461</v>
      </c>
      <c r="M130" s="141">
        <f t="shared" si="6"/>
        <v>46192</v>
      </c>
      <c r="N130" s="57" t="str">
        <f t="shared" ca="1" si="5"/>
        <v>Vencido</v>
      </c>
      <c r="O130" s="346" t="s">
        <v>387</v>
      </c>
      <c r="P130" s="94"/>
    </row>
    <row r="131" spans="1:16" s="2" customFormat="1" ht="13" customHeight="1" x14ac:dyDescent="0.3">
      <c r="A131" s="7">
        <v>120</v>
      </c>
      <c r="B131" s="159">
        <v>12014341</v>
      </c>
      <c r="C131" s="7">
        <v>59137</v>
      </c>
      <c r="D131" s="26" t="s">
        <v>145</v>
      </c>
      <c r="E131" s="26">
        <v>90172000</v>
      </c>
      <c r="F131" s="7"/>
      <c r="G131" s="33" t="s">
        <v>147</v>
      </c>
      <c r="H131" s="158" t="s">
        <v>20</v>
      </c>
      <c r="I131" s="40" t="s">
        <v>21</v>
      </c>
      <c r="J131" s="25" t="s">
        <v>56</v>
      </c>
      <c r="K131" s="7" t="s">
        <v>23</v>
      </c>
      <c r="L131" s="147">
        <v>46050</v>
      </c>
      <c r="M131" s="141">
        <f t="shared" si="6"/>
        <v>46781</v>
      </c>
      <c r="N131" s="57" t="str">
        <f t="shared" ca="1" si="5"/>
        <v>Em Uso</v>
      </c>
      <c r="O131" s="364"/>
    </row>
    <row r="132" spans="1:16" s="2" customFormat="1" ht="13" customHeight="1" thickBot="1" x14ac:dyDescent="0.35">
      <c r="A132" s="7">
        <v>121</v>
      </c>
      <c r="B132" s="159">
        <v>12015981</v>
      </c>
      <c r="C132" s="7">
        <v>61809</v>
      </c>
      <c r="D132" s="26" t="s">
        <v>145</v>
      </c>
      <c r="E132" s="26">
        <v>90172000</v>
      </c>
      <c r="F132" s="7">
        <v>156021</v>
      </c>
      <c r="G132" s="29" t="s">
        <v>147</v>
      </c>
      <c r="H132" s="111" t="s">
        <v>26</v>
      </c>
      <c r="I132" s="40" t="s">
        <v>21</v>
      </c>
      <c r="J132" s="25" t="s">
        <v>56</v>
      </c>
      <c r="K132" s="7" t="s">
        <v>23</v>
      </c>
      <c r="L132" s="175">
        <v>45702</v>
      </c>
      <c r="M132" s="141">
        <f t="shared" si="6"/>
        <v>46433</v>
      </c>
      <c r="N132" s="24" t="str">
        <f t="shared" ca="1" si="5"/>
        <v>Em Uso</v>
      </c>
      <c r="O132" s="165" t="s">
        <v>27</v>
      </c>
      <c r="P132" s="94"/>
    </row>
    <row r="133" spans="1:16" s="2" customFormat="1" ht="13" customHeight="1" x14ac:dyDescent="0.3">
      <c r="A133" s="100">
        <v>122</v>
      </c>
      <c r="B133" s="277">
        <v>12015980</v>
      </c>
      <c r="C133" s="100">
        <v>61810</v>
      </c>
      <c r="D133" s="101" t="s">
        <v>145</v>
      </c>
      <c r="E133" s="101">
        <v>90172000</v>
      </c>
      <c r="F133" s="100">
        <v>156028</v>
      </c>
      <c r="G133" s="267" t="s">
        <v>147</v>
      </c>
      <c r="H133" s="225" t="s">
        <v>30</v>
      </c>
      <c r="I133" s="122" t="s">
        <v>21</v>
      </c>
      <c r="J133" s="269" t="s">
        <v>56</v>
      </c>
      <c r="K133" s="100" t="s">
        <v>23</v>
      </c>
      <c r="L133" s="216">
        <v>45702</v>
      </c>
      <c r="M133" s="217">
        <f t="shared" si="6"/>
        <v>46433</v>
      </c>
      <c r="N133" s="218" t="str">
        <f t="shared" ref="N133:N196" ca="1" si="7">IF((TODAY())&gt;M133,"Vencido",IF(M133-(TODAY())&lt;=30,"Sol. Cal. Urgen.",IF(M133-(TODAY())&lt;=120,"Sol. Cal.",IF(M133&gt;(TODAY())+120,"Em Uso"))))</f>
        <v>Em Uso</v>
      </c>
      <c r="O133" s="227"/>
      <c r="P133" s="95"/>
    </row>
    <row r="134" spans="1:16" s="250" customFormat="1" ht="13" customHeight="1" x14ac:dyDescent="0.3">
      <c r="A134" s="244">
        <v>123</v>
      </c>
      <c r="B134" s="243">
        <v>12014295</v>
      </c>
      <c r="C134" s="244">
        <v>59089</v>
      </c>
      <c r="D134" s="245" t="s">
        <v>150</v>
      </c>
      <c r="E134" s="245">
        <v>90262010</v>
      </c>
      <c r="F134" s="244">
        <v>512</v>
      </c>
      <c r="G134" s="250" t="s">
        <v>151</v>
      </c>
      <c r="H134" s="243" t="s">
        <v>131</v>
      </c>
      <c r="I134" s="255" t="s">
        <v>152</v>
      </c>
      <c r="J134" s="251" t="s">
        <v>83</v>
      </c>
      <c r="K134" s="244" t="s">
        <v>23</v>
      </c>
      <c r="L134" s="252">
        <v>44677</v>
      </c>
      <c r="M134" s="257">
        <f>L134+730+1</f>
        <v>45408</v>
      </c>
      <c r="N134" s="351" t="str">
        <f t="shared" ca="1" si="7"/>
        <v>Vencido</v>
      </c>
      <c r="O134" s="299" t="s">
        <v>153</v>
      </c>
      <c r="P134" s="352"/>
    </row>
    <row r="135" spans="1:16" s="2" customFormat="1" ht="13" customHeight="1" x14ac:dyDescent="0.3">
      <c r="A135" s="18">
        <v>125</v>
      </c>
      <c r="B135" s="294">
        <v>12014297</v>
      </c>
      <c r="C135" s="283">
        <v>59091</v>
      </c>
      <c r="D135" s="317">
        <v>70000166</v>
      </c>
      <c r="E135" s="317">
        <v>90262010</v>
      </c>
      <c r="F135" s="283">
        <v>1019609</v>
      </c>
      <c r="G135" s="318" t="s">
        <v>154</v>
      </c>
      <c r="H135" s="111" t="s">
        <v>26</v>
      </c>
      <c r="I135" s="40" t="s">
        <v>21</v>
      </c>
      <c r="J135" s="319" t="s">
        <v>83</v>
      </c>
      <c r="K135" s="283" t="s">
        <v>84</v>
      </c>
      <c r="L135" s="320">
        <v>46034</v>
      </c>
      <c r="M135" s="321">
        <f>L135+365</f>
        <v>46399</v>
      </c>
      <c r="N135" s="301" t="str">
        <f t="shared" ca="1" si="7"/>
        <v>Em Uso</v>
      </c>
      <c r="O135" s="165" t="s">
        <v>27</v>
      </c>
      <c r="P135" s="94"/>
    </row>
    <row r="136" spans="1:16" s="2" customFormat="1" ht="13" x14ac:dyDescent="0.3">
      <c r="A136" s="7">
        <v>126</v>
      </c>
      <c r="B136" s="91">
        <v>12014354</v>
      </c>
      <c r="C136" s="18">
        <v>54593</v>
      </c>
      <c r="D136" s="27">
        <v>70000166</v>
      </c>
      <c r="E136" s="27">
        <v>90262010</v>
      </c>
      <c r="F136" s="18" t="s">
        <v>155</v>
      </c>
      <c r="G136" s="110" t="s">
        <v>156</v>
      </c>
      <c r="H136" s="103" t="s">
        <v>20</v>
      </c>
      <c r="I136" s="91" t="s">
        <v>21</v>
      </c>
      <c r="J136" s="92" t="s">
        <v>83</v>
      </c>
      <c r="K136" s="18" t="s">
        <v>84</v>
      </c>
      <c r="L136" s="143">
        <v>46149</v>
      </c>
      <c r="M136" s="144">
        <f>L136+365</f>
        <v>46514</v>
      </c>
      <c r="N136" s="58" t="str">
        <f t="shared" ca="1" si="7"/>
        <v>Em Uso</v>
      </c>
      <c r="O136" s="363"/>
      <c r="P136" s="94"/>
    </row>
    <row r="137" spans="1:16" s="2" customFormat="1" ht="13" x14ac:dyDescent="0.3">
      <c r="A137" s="7">
        <v>127</v>
      </c>
      <c r="B137" s="40">
        <v>12033052</v>
      </c>
      <c r="C137" s="7">
        <v>202071</v>
      </c>
      <c r="D137" s="26" t="s">
        <v>157</v>
      </c>
      <c r="E137" s="26">
        <v>90262010</v>
      </c>
      <c r="F137" s="7" t="s">
        <v>158</v>
      </c>
      <c r="G137" s="29" t="s">
        <v>156</v>
      </c>
      <c r="H137" s="161" t="s">
        <v>28</v>
      </c>
      <c r="I137" s="40" t="s">
        <v>21</v>
      </c>
      <c r="J137" s="25" t="s">
        <v>83</v>
      </c>
      <c r="K137" s="7" t="s">
        <v>84</v>
      </c>
      <c r="L137" s="140">
        <v>46231</v>
      </c>
      <c r="M137" s="141">
        <f>L137+365</f>
        <v>46596</v>
      </c>
      <c r="N137" s="57" t="str">
        <f t="shared" ca="1" si="7"/>
        <v>Em Uso</v>
      </c>
      <c r="O137" s="360" t="s">
        <v>85</v>
      </c>
      <c r="P137" s="94"/>
    </row>
    <row r="138" spans="1:16" s="2" customFormat="1" ht="13" x14ac:dyDescent="0.3">
      <c r="A138" s="7">
        <v>128</v>
      </c>
      <c r="B138" s="40">
        <v>12033053</v>
      </c>
      <c r="C138" s="7">
        <v>202072</v>
      </c>
      <c r="D138" s="26" t="s">
        <v>157</v>
      </c>
      <c r="E138" s="26">
        <v>90262010</v>
      </c>
      <c r="F138" s="7" t="s">
        <v>159</v>
      </c>
      <c r="G138" s="29" t="s">
        <v>156</v>
      </c>
      <c r="H138" s="116" t="s">
        <v>29</v>
      </c>
      <c r="I138" s="40" t="s">
        <v>21</v>
      </c>
      <c r="J138" s="25" t="s">
        <v>83</v>
      </c>
      <c r="K138" s="7" t="s">
        <v>84</v>
      </c>
      <c r="L138" s="140">
        <v>46231</v>
      </c>
      <c r="M138" s="141">
        <f>L138+365</f>
        <v>46596</v>
      </c>
      <c r="N138" s="24" t="str">
        <f t="shared" ca="1" si="7"/>
        <v>Em Uso</v>
      </c>
      <c r="O138" s="360" t="s">
        <v>85</v>
      </c>
      <c r="P138" s="94"/>
    </row>
    <row r="139" spans="1:16" s="2" customFormat="1" ht="13" x14ac:dyDescent="0.3">
      <c r="A139" s="7">
        <v>129</v>
      </c>
      <c r="B139" s="40">
        <v>12014298</v>
      </c>
      <c r="C139" s="7">
        <v>59092</v>
      </c>
      <c r="D139" s="26">
        <v>70000166</v>
      </c>
      <c r="E139" s="26">
        <v>90262010</v>
      </c>
      <c r="F139" s="7">
        <v>1026709</v>
      </c>
      <c r="G139" s="29" t="s">
        <v>160</v>
      </c>
      <c r="H139" s="112" t="s">
        <v>30</v>
      </c>
      <c r="I139" s="40" t="s">
        <v>21</v>
      </c>
      <c r="J139" s="25" t="s">
        <v>83</v>
      </c>
      <c r="K139" s="7" t="s">
        <v>84</v>
      </c>
      <c r="L139" s="140">
        <v>46034</v>
      </c>
      <c r="M139" s="148">
        <f>L139+365</f>
        <v>46399</v>
      </c>
      <c r="N139" s="24" t="str">
        <f t="shared" ca="1" si="7"/>
        <v>Em Uso</v>
      </c>
      <c r="O139" s="361"/>
      <c r="P139" s="94"/>
    </row>
    <row r="140" spans="1:16" s="205" customFormat="1" ht="13.5" thickBot="1" x14ac:dyDescent="0.35">
      <c r="A140" s="7">
        <v>130</v>
      </c>
      <c r="B140" s="171">
        <v>12014299</v>
      </c>
      <c r="C140" s="170">
        <v>59093</v>
      </c>
      <c r="D140" s="172">
        <v>70000166</v>
      </c>
      <c r="E140" s="172">
        <v>90262010</v>
      </c>
      <c r="F140" s="170">
        <v>1033798</v>
      </c>
      <c r="G140" s="189" t="s">
        <v>161</v>
      </c>
      <c r="H140" s="182" t="s">
        <v>131</v>
      </c>
      <c r="I140" s="171" t="s">
        <v>152</v>
      </c>
      <c r="J140" s="174" t="s">
        <v>83</v>
      </c>
      <c r="K140" s="170" t="s">
        <v>84</v>
      </c>
      <c r="L140" s="256">
        <v>46097</v>
      </c>
      <c r="M140" s="176">
        <f>IF(K140="12 meses",L140+365,IF(K140="24 meses",L140+732,IF(K140="36 meses",L140+1096)))</f>
        <v>46462</v>
      </c>
      <c r="N140" s="57" t="str">
        <f t="shared" ca="1" si="7"/>
        <v>Em Uso</v>
      </c>
      <c r="O140" s="299" t="s">
        <v>133</v>
      </c>
      <c r="P140" s="179"/>
    </row>
    <row r="141" spans="1:16" s="2" customFormat="1" ht="13" x14ac:dyDescent="0.3">
      <c r="A141" s="7">
        <v>131</v>
      </c>
      <c r="B141" s="113">
        <v>12014300</v>
      </c>
      <c r="C141" s="18">
        <v>59094</v>
      </c>
      <c r="D141" s="27" t="s">
        <v>162</v>
      </c>
      <c r="E141" s="27">
        <v>90172000</v>
      </c>
      <c r="F141" s="18">
        <v>820</v>
      </c>
      <c r="G141" s="110" t="s">
        <v>163</v>
      </c>
      <c r="H141" s="103" t="s">
        <v>20</v>
      </c>
      <c r="I141" s="91" t="s">
        <v>21</v>
      </c>
      <c r="J141" s="92" t="s">
        <v>90</v>
      </c>
      <c r="K141" s="18" t="s">
        <v>23</v>
      </c>
      <c r="L141" s="143">
        <v>45407</v>
      </c>
      <c r="M141" s="144">
        <f>L141+730+1</f>
        <v>46138</v>
      </c>
      <c r="N141" s="24" t="str">
        <f t="shared" ca="1" si="7"/>
        <v>Vencido</v>
      </c>
      <c r="O141" s="186" t="s">
        <v>164</v>
      </c>
      <c r="P141" s="94"/>
    </row>
    <row r="142" spans="1:16" s="2" customFormat="1" ht="14.5" x14ac:dyDescent="0.35">
      <c r="A142" s="7">
        <v>132</v>
      </c>
      <c r="B142" s="40">
        <v>12014301</v>
      </c>
      <c r="C142" s="7">
        <v>59095</v>
      </c>
      <c r="D142" s="26" t="s">
        <v>162</v>
      </c>
      <c r="E142" s="26">
        <v>90172000</v>
      </c>
      <c r="F142" s="7">
        <v>10</v>
      </c>
      <c r="G142" s="29" t="s">
        <v>163</v>
      </c>
      <c r="H142" s="112" t="s">
        <v>30</v>
      </c>
      <c r="I142" s="40" t="s">
        <v>21</v>
      </c>
      <c r="J142" s="25" t="s">
        <v>90</v>
      </c>
      <c r="K142" s="7" t="s">
        <v>23</v>
      </c>
      <c r="L142" s="140">
        <v>45846</v>
      </c>
      <c r="M142" s="141">
        <f>L142+730+1</f>
        <v>46577</v>
      </c>
      <c r="N142" s="24" t="str">
        <f t="shared" ca="1" si="7"/>
        <v>Em Uso</v>
      </c>
      <c r="O142" s="310" t="s">
        <v>27</v>
      </c>
    </row>
    <row r="143" spans="1:16" s="2" customFormat="1" ht="13" x14ac:dyDescent="0.3">
      <c r="A143" s="7">
        <v>133</v>
      </c>
      <c r="B143" s="40">
        <v>12014303</v>
      </c>
      <c r="C143" s="7">
        <v>59097</v>
      </c>
      <c r="D143" s="26" t="s">
        <v>162</v>
      </c>
      <c r="E143" s="26">
        <v>90172000</v>
      </c>
      <c r="F143" s="7" t="s">
        <v>165</v>
      </c>
      <c r="G143" s="29" t="s">
        <v>163</v>
      </c>
      <c r="H143" s="116" t="s">
        <v>29</v>
      </c>
      <c r="I143" s="40" t="s">
        <v>21</v>
      </c>
      <c r="J143" s="25" t="s">
        <v>90</v>
      </c>
      <c r="K143" s="7" t="s">
        <v>23</v>
      </c>
      <c r="L143" s="140">
        <v>45821</v>
      </c>
      <c r="M143" s="141">
        <f>IF(K143="12 meses",L143+364,IF(K143="24 meses",L143+731,IF(K143="36 meses",L143+1095)))</f>
        <v>46552</v>
      </c>
      <c r="N143" s="24" t="str">
        <f t="shared" ca="1" si="7"/>
        <v>Em Uso</v>
      </c>
      <c r="O143" s="165" t="s">
        <v>27</v>
      </c>
    </row>
    <row r="144" spans="1:16" s="180" customFormat="1" ht="13.5" thickBot="1" x14ac:dyDescent="0.35">
      <c r="A144" s="7">
        <v>134</v>
      </c>
      <c r="B144" s="171">
        <v>12015977</v>
      </c>
      <c r="C144" s="170">
        <v>61807</v>
      </c>
      <c r="D144" s="172" t="s">
        <v>166</v>
      </c>
      <c r="E144" s="172">
        <v>90172000</v>
      </c>
      <c r="F144" s="170" t="s">
        <v>129</v>
      </c>
      <c r="G144" s="189" t="s">
        <v>163</v>
      </c>
      <c r="H144" s="111" t="s">
        <v>26</v>
      </c>
      <c r="I144" s="40" t="s">
        <v>21</v>
      </c>
      <c r="J144" s="174" t="s">
        <v>90</v>
      </c>
      <c r="K144" s="170" t="s">
        <v>23</v>
      </c>
      <c r="L144" s="175">
        <v>45790</v>
      </c>
      <c r="M144" s="176">
        <f>IF(K144="12 meses",L144+366,IF(K144="24 meses",L144+730,IF(K144="36 meses",L144+1095)))</f>
        <v>46520</v>
      </c>
      <c r="N144" s="24" t="str">
        <f t="shared" ca="1" si="7"/>
        <v>Em Uso</v>
      </c>
      <c r="O144" s="165" t="s">
        <v>27</v>
      </c>
    </row>
    <row r="145" spans="1:16" s="2" customFormat="1" ht="13" x14ac:dyDescent="0.3">
      <c r="A145" s="7">
        <v>136</v>
      </c>
      <c r="B145" s="159">
        <v>12014305</v>
      </c>
      <c r="C145" s="7">
        <v>59099</v>
      </c>
      <c r="D145" s="26" t="s">
        <v>167</v>
      </c>
      <c r="E145" s="26">
        <v>90173010</v>
      </c>
      <c r="F145" s="7" t="s">
        <v>168</v>
      </c>
      <c r="G145" s="26" t="s">
        <v>169</v>
      </c>
      <c r="H145" s="111" t="s">
        <v>26</v>
      </c>
      <c r="I145" s="40" t="s">
        <v>21</v>
      </c>
      <c r="J145" s="25" t="s">
        <v>56</v>
      </c>
      <c r="K145" s="7" t="s">
        <v>23</v>
      </c>
      <c r="L145" s="140">
        <v>45807</v>
      </c>
      <c r="M145" s="141">
        <f>IF(K145="12 meses",L145+364,IF(K145="24 meses",L145+731,IF(K145="36 meses",L145+1095)))</f>
        <v>46538</v>
      </c>
      <c r="N145" s="24" t="str">
        <f t="shared" ca="1" si="7"/>
        <v>Em Uso</v>
      </c>
      <c r="O145" s="165" t="s">
        <v>53</v>
      </c>
    </row>
    <row r="146" spans="1:16" s="180" customFormat="1" ht="13.5" thickBot="1" x14ac:dyDescent="0.35">
      <c r="A146" s="7">
        <v>137</v>
      </c>
      <c r="B146" s="182">
        <v>12014686</v>
      </c>
      <c r="C146" s="170"/>
      <c r="D146" s="172" t="s">
        <v>167</v>
      </c>
      <c r="E146" s="172">
        <v>90173010</v>
      </c>
      <c r="F146" s="170" t="s">
        <v>170</v>
      </c>
      <c r="G146" s="172" t="s">
        <v>169</v>
      </c>
      <c r="H146" s="40" t="s">
        <v>35</v>
      </c>
      <c r="I146" s="171" t="s">
        <v>21</v>
      </c>
      <c r="J146" s="174" t="s">
        <v>56</v>
      </c>
      <c r="K146" s="170" t="s">
        <v>23</v>
      </c>
      <c r="L146" s="175">
        <v>45408</v>
      </c>
      <c r="M146" s="176">
        <f>IF(K146="12 meses",L146+366,IF(K146="24 meses",L146+730,IF(K146="36 meses",L146+1096)))</f>
        <v>46138</v>
      </c>
      <c r="N146" s="24" t="str">
        <f t="shared" ca="1" si="7"/>
        <v>Vencido</v>
      </c>
      <c r="O146" s="358" t="s">
        <v>388</v>
      </c>
      <c r="P146" s="179"/>
    </row>
    <row r="147" spans="1:16" s="2" customFormat="1" ht="13" x14ac:dyDescent="0.3">
      <c r="A147" s="7">
        <v>138</v>
      </c>
      <c r="B147" s="113">
        <v>12014306</v>
      </c>
      <c r="C147" s="18">
        <v>59100</v>
      </c>
      <c r="D147" s="114">
        <v>223090000104</v>
      </c>
      <c r="E147" s="27">
        <v>90303100</v>
      </c>
      <c r="F147" s="18">
        <v>70961956</v>
      </c>
      <c r="G147" s="110" t="s">
        <v>171</v>
      </c>
      <c r="H147" s="103" t="s">
        <v>20</v>
      </c>
      <c r="I147" s="91" t="s">
        <v>21</v>
      </c>
      <c r="J147" s="25" t="s">
        <v>128</v>
      </c>
      <c r="K147" s="18" t="s">
        <v>23</v>
      </c>
      <c r="L147" s="143">
        <v>46167</v>
      </c>
      <c r="M147" s="144">
        <f>L147+731</f>
        <v>46898</v>
      </c>
      <c r="N147" s="57" t="str">
        <f t="shared" ca="1" si="7"/>
        <v>Em Uso</v>
      </c>
      <c r="O147" s="363"/>
      <c r="P147" s="94"/>
    </row>
    <row r="148" spans="1:16" s="2" customFormat="1" ht="13" x14ac:dyDescent="0.3">
      <c r="A148" s="7">
        <v>139</v>
      </c>
      <c r="B148" s="167">
        <v>12015076</v>
      </c>
      <c r="C148" s="7">
        <v>59102</v>
      </c>
      <c r="D148" s="62">
        <v>223090000104</v>
      </c>
      <c r="E148" s="26">
        <v>90303100</v>
      </c>
      <c r="F148" s="7">
        <v>89540069</v>
      </c>
      <c r="G148" s="29" t="s">
        <v>171</v>
      </c>
      <c r="H148" s="112" t="s">
        <v>30</v>
      </c>
      <c r="I148" s="40" t="s">
        <v>21</v>
      </c>
      <c r="J148" s="25" t="s">
        <v>90</v>
      </c>
      <c r="K148" s="7" t="s">
        <v>23</v>
      </c>
      <c r="L148" s="140">
        <v>46108</v>
      </c>
      <c r="M148" s="141">
        <f>L148+730</f>
        <v>46838</v>
      </c>
      <c r="N148" s="24" t="str">
        <f t="shared" ca="1" si="7"/>
        <v>Em Uso</v>
      </c>
      <c r="O148" s="347" t="s">
        <v>172</v>
      </c>
    </row>
    <row r="149" spans="1:16" s="2" customFormat="1" ht="13" x14ac:dyDescent="0.3">
      <c r="A149" s="7">
        <v>140</v>
      </c>
      <c r="B149" s="167">
        <v>12014962</v>
      </c>
      <c r="C149" s="7">
        <v>59104</v>
      </c>
      <c r="D149" s="62">
        <v>223090000104</v>
      </c>
      <c r="E149" s="26">
        <v>90303100</v>
      </c>
      <c r="F149" s="7">
        <v>14850387</v>
      </c>
      <c r="G149" s="29" t="s">
        <v>171</v>
      </c>
      <c r="H149" s="116" t="s">
        <v>29</v>
      </c>
      <c r="I149" s="40" t="s">
        <v>21</v>
      </c>
      <c r="J149" s="25" t="s">
        <v>90</v>
      </c>
      <c r="K149" s="7" t="s">
        <v>23</v>
      </c>
      <c r="L149" s="140">
        <v>45691</v>
      </c>
      <c r="M149" s="141">
        <f>L149+730+0</f>
        <v>46421</v>
      </c>
      <c r="N149" s="24" t="str">
        <f t="shared" ca="1" si="7"/>
        <v>Em Uso</v>
      </c>
      <c r="O149" s="136"/>
      <c r="P149" s="95"/>
    </row>
    <row r="150" spans="1:16" s="2" customFormat="1" ht="13" x14ac:dyDescent="0.3">
      <c r="A150" s="7">
        <v>141</v>
      </c>
      <c r="B150" s="40">
        <v>12014309</v>
      </c>
      <c r="C150" s="7">
        <v>59103</v>
      </c>
      <c r="D150" s="62">
        <v>223090000104</v>
      </c>
      <c r="E150" s="26">
        <v>90303100</v>
      </c>
      <c r="F150" s="7">
        <v>85800379</v>
      </c>
      <c r="G150" s="29" t="s">
        <v>171</v>
      </c>
      <c r="H150" s="161" t="s">
        <v>28</v>
      </c>
      <c r="I150" s="40" t="s">
        <v>21</v>
      </c>
      <c r="J150" s="25" t="s">
        <v>90</v>
      </c>
      <c r="K150" s="7" t="s">
        <v>23</v>
      </c>
      <c r="L150" s="140">
        <v>45560</v>
      </c>
      <c r="M150" s="141">
        <f>L150+730+0</f>
        <v>46290</v>
      </c>
      <c r="N150" s="24" t="str">
        <f t="shared" ca="1" si="7"/>
        <v>Sol. Cal.</v>
      </c>
      <c r="O150" s="136"/>
      <c r="P150" s="95"/>
    </row>
    <row r="151" spans="1:16" s="180" customFormat="1" ht="13.5" thickBot="1" x14ac:dyDescent="0.35">
      <c r="A151" s="7">
        <v>142</v>
      </c>
      <c r="B151" s="182">
        <v>12014307</v>
      </c>
      <c r="C151" s="170">
        <v>59101</v>
      </c>
      <c r="D151" s="201">
        <v>223090000104</v>
      </c>
      <c r="E151" s="172">
        <v>90303100</v>
      </c>
      <c r="F151" s="170">
        <v>51400243</v>
      </c>
      <c r="G151" s="189" t="s">
        <v>171</v>
      </c>
      <c r="H151" s="111" t="s">
        <v>26</v>
      </c>
      <c r="I151" s="40" t="s">
        <v>21</v>
      </c>
      <c r="J151" s="174" t="s">
        <v>90</v>
      </c>
      <c r="K151" s="170" t="s">
        <v>23</v>
      </c>
      <c r="L151" s="202">
        <v>45691</v>
      </c>
      <c r="M151" s="203">
        <f>L151+730+0</f>
        <v>46421</v>
      </c>
      <c r="N151" s="24" t="str">
        <f t="shared" ca="1" si="7"/>
        <v>Em Uso</v>
      </c>
      <c r="O151" s="165" t="s">
        <v>27</v>
      </c>
      <c r="P151" s="199"/>
    </row>
    <row r="152" spans="1:16" s="2" customFormat="1" ht="13" x14ac:dyDescent="0.3">
      <c r="A152" s="7">
        <v>143</v>
      </c>
      <c r="B152" s="113">
        <v>12031420</v>
      </c>
      <c r="C152" s="18"/>
      <c r="D152" s="114" t="s">
        <v>173</v>
      </c>
      <c r="E152" s="126">
        <v>90173020</v>
      </c>
      <c r="F152" s="18" t="s">
        <v>174</v>
      </c>
      <c r="G152" s="29" t="s">
        <v>175</v>
      </c>
      <c r="H152" s="113" t="s">
        <v>131</v>
      </c>
      <c r="I152" s="124"/>
      <c r="J152" s="92" t="s">
        <v>56</v>
      </c>
      <c r="K152" s="18" t="s">
        <v>84</v>
      </c>
      <c r="L152" s="145">
        <v>46140</v>
      </c>
      <c r="M152" s="146">
        <f>L152+365</f>
        <v>46505</v>
      </c>
      <c r="N152" s="24" t="str">
        <f t="shared" ca="1" si="7"/>
        <v>Em Uso</v>
      </c>
      <c r="O152" s="165" t="s">
        <v>176</v>
      </c>
    </row>
    <row r="153" spans="1:16" s="2" customFormat="1" ht="13" x14ac:dyDescent="0.3">
      <c r="A153" s="7">
        <v>144</v>
      </c>
      <c r="B153" s="159">
        <v>12031419</v>
      </c>
      <c r="C153" s="7"/>
      <c r="D153" s="62" t="s">
        <v>173</v>
      </c>
      <c r="E153" s="35">
        <v>90173020</v>
      </c>
      <c r="F153" s="7" t="s">
        <v>177</v>
      </c>
      <c r="G153" s="29" t="s">
        <v>175</v>
      </c>
      <c r="H153" s="161" t="s">
        <v>28</v>
      </c>
      <c r="I153" s="43"/>
      <c r="J153" s="25" t="s">
        <v>56</v>
      </c>
      <c r="K153" s="7" t="s">
        <v>84</v>
      </c>
      <c r="L153" s="147">
        <v>46140</v>
      </c>
      <c r="M153" s="148">
        <f>L153+365</f>
        <v>46505</v>
      </c>
      <c r="N153" s="24" t="str">
        <f t="shared" ca="1" si="7"/>
        <v>Em Uso</v>
      </c>
      <c r="O153" s="165"/>
    </row>
    <row r="154" spans="1:16" s="2" customFormat="1" ht="13" x14ac:dyDescent="0.3">
      <c r="A154" s="7">
        <v>145</v>
      </c>
      <c r="B154" s="159">
        <v>12014311</v>
      </c>
      <c r="C154" s="15">
        <v>59105</v>
      </c>
      <c r="D154" s="63" t="s">
        <v>178</v>
      </c>
      <c r="E154" s="35">
        <v>90173020</v>
      </c>
      <c r="F154" s="15" t="s">
        <v>179</v>
      </c>
      <c r="G154" s="33" t="s">
        <v>180</v>
      </c>
      <c r="H154" s="111" t="s">
        <v>26</v>
      </c>
      <c r="I154" s="40" t="s">
        <v>21</v>
      </c>
      <c r="J154" s="25" t="s">
        <v>56</v>
      </c>
      <c r="K154" s="7" t="s">
        <v>84</v>
      </c>
      <c r="L154" s="147">
        <v>46036</v>
      </c>
      <c r="M154" s="148">
        <f>L154+365</f>
        <v>46401</v>
      </c>
      <c r="N154" s="24" t="str">
        <f t="shared" ca="1" si="7"/>
        <v>Em Uso</v>
      </c>
      <c r="O154" s="165" t="s">
        <v>27</v>
      </c>
    </row>
    <row r="155" spans="1:16" s="2" customFormat="1" ht="13" x14ac:dyDescent="0.3">
      <c r="A155" s="7">
        <v>146</v>
      </c>
      <c r="B155" s="159">
        <v>12014312</v>
      </c>
      <c r="C155" s="7">
        <v>59106</v>
      </c>
      <c r="D155" s="62" t="s">
        <v>178</v>
      </c>
      <c r="E155" s="26">
        <v>90173020</v>
      </c>
      <c r="F155" s="7" t="s">
        <v>181</v>
      </c>
      <c r="G155" s="29" t="s">
        <v>175</v>
      </c>
      <c r="H155" s="113" t="s">
        <v>131</v>
      </c>
      <c r="I155" s="42" t="s">
        <v>152</v>
      </c>
      <c r="J155" s="25" t="s">
        <v>56</v>
      </c>
      <c r="K155" s="7" t="s">
        <v>84</v>
      </c>
      <c r="L155" s="147">
        <v>46106</v>
      </c>
      <c r="M155" s="141">
        <f>IF(K155="12 meses",L155+365,IF(K155="24 meses",L155+719,IF(K155="36 meses",L155+1094)))</f>
        <v>46471</v>
      </c>
      <c r="N155" s="57" t="str">
        <f t="shared" ca="1" si="7"/>
        <v>Em Uso</v>
      </c>
      <c r="O155" s="346" t="s">
        <v>182</v>
      </c>
    </row>
    <row r="156" spans="1:16" s="2" customFormat="1" ht="13" x14ac:dyDescent="0.3">
      <c r="A156" s="7">
        <v>147</v>
      </c>
      <c r="B156" s="159">
        <v>12020290</v>
      </c>
      <c r="C156" s="7"/>
      <c r="D156" s="62" t="s">
        <v>178</v>
      </c>
      <c r="E156" s="26">
        <v>90173020</v>
      </c>
      <c r="F156" s="7">
        <v>18942395</v>
      </c>
      <c r="G156" s="29" t="s">
        <v>183</v>
      </c>
      <c r="H156" s="158" t="s">
        <v>20</v>
      </c>
      <c r="I156" s="40" t="s">
        <v>21</v>
      </c>
      <c r="J156" s="25" t="s">
        <v>184</v>
      </c>
      <c r="K156" s="7" t="s">
        <v>84</v>
      </c>
      <c r="L156" s="140">
        <v>46176</v>
      </c>
      <c r="M156" s="141">
        <f>L156+365</f>
        <v>46541</v>
      </c>
      <c r="N156" s="57" t="str">
        <f t="shared" ca="1" si="7"/>
        <v>Em Uso</v>
      </c>
      <c r="O156" s="365" t="s">
        <v>85</v>
      </c>
    </row>
    <row r="157" spans="1:16" s="2" customFormat="1" ht="13" x14ac:dyDescent="0.3">
      <c r="A157" s="7">
        <v>148</v>
      </c>
      <c r="B157" s="159">
        <v>12014314</v>
      </c>
      <c r="C157" s="7">
        <v>59108</v>
      </c>
      <c r="D157" s="62" t="s">
        <v>178</v>
      </c>
      <c r="E157" s="26">
        <v>90173020</v>
      </c>
      <c r="F157" s="7" t="s">
        <v>185</v>
      </c>
      <c r="G157" s="29" t="s">
        <v>183</v>
      </c>
      <c r="H157" s="116" t="s">
        <v>29</v>
      </c>
      <c r="I157" s="40" t="s">
        <v>21</v>
      </c>
      <c r="J157" s="25" t="s">
        <v>56</v>
      </c>
      <c r="K157" s="7" t="s">
        <v>84</v>
      </c>
      <c r="L157" s="140">
        <v>45972</v>
      </c>
      <c r="M157" s="141">
        <f>L157+365</f>
        <v>46337</v>
      </c>
      <c r="N157" s="24" t="str">
        <f t="shared" ca="1" si="7"/>
        <v>Sol. Cal.</v>
      </c>
      <c r="O157" s="169"/>
    </row>
    <row r="158" spans="1:16" s="2" customFormat="1" ht="13" x14ac:dyDescent="0.3">
      <c r="A158" s="7">
        <v>149</v>
      </c>
      <c r="B158" s="159">
        <v>12020291</v>
      </c>
      <c r="C158" s="7"/>
      <c r="D158" s="62" t="s">
        <v>178</v>
      </c>
      <c r="E158" s="26">
        <v>90173020</v>
      </c>
      <c r="F158" s="7">
        <v>18942205</v>
      </c>
      <c r="G158" s="29" t="s">
        <v>183</v>
      </c>
      <c r="H158" s="112" t="s">
        <v>30</v>
      </c>
      <c r="I158" s="40" t="s">
        <v>21</v>
      </c>
      <c r="J158" s="25" t="s">
        <v>56</v>
      </c>
      <c r="K158" s="7" t="s">
        <v>84</v>
      </c>
      <c r="L158" s="140">
        <v>46036</v>
      </c>
      <c r="M158" s="141">
        <f>L158+365</f>
        <v>46401</v>
      </c>
      <c r="N158" s="24" t="str">
        <f t="shared" ca="1" si="7"/>
        <v>Em Uso</v>
      </c>
      <c r="O158" s="361"/>
    </row>
    <row r="159" spans="1:16" s="180" customFormat="1" ht="13.5" thickBot="1" x14ac:dyDescent="0.35">
      <c r="A159" s="7">
        <v>150</v>
      </c>
      <c r="B159" s="182">
        <v>12014356</v>
      </c>
      <c r="C159" s="170" t="s">
        <v>129</v>
      </c>
      <c r="D159" s="201">
        <v>512510000055</v>
      </c>
      <c r="E159" s="172">
        <v>90173020</v>
      </c>
      <c r="F159" s="170" t="s">
        <v>186</v>
      </c>
      <c r="G159" s="189" t="s">
        <v>187</v>
      </c>
      <c r="H159" s="40" t="s">
        <v>35</v>
      </c>
      <c r="I159" s="207" t="s">
        <v>21</v>
      </c>
      <c r="J159" s="25" t="s">
        <v>56</v>
      </c>
      <c r="K159" s="170" t="s">
        <v>84</v>
      </c>
      <c r="L159" s="175">
        <v>45842</v>
      </c>
      <c r="M159" s="176">
        <f>IF(K159="12 meses",L159+365,IF(K159="24 meses",L159+731,IF(K159="36 meses",L159+1095)))</f>
        <v>46207</v>
      </c>
      <c r="N159" s="24" t="str">
        <f t="shared" ca="1" si="7"/>
        <v>Vencido</v>
      </c>
      <c r="O159" s="165"/>
    </row>
    <row r="160" spans="1:16" s="2" customFormat="1" ht="13" x14ac:dyDescent="0.3">
      <c r="A160" s="7">
        <v>151</v>
      </c>
      <c r="B160" s="113">
        <v>12014316</v>
      </c>
      <c r="C160" s="18">
        <v>59111</v>
      </c>
      <c r="D160" s="27">
        <v>70000310</v>
      </c>
      <c r="E160" s="27">
        <v>84239010</v>
      </c>
      <c r="F160" s="18">
        <v>842</v>
      </c>
      <c r="G160" s="110" t="s">
        <v>188</v>
      </c>
      <c r="H160" s="111" t="s">
        <v>26</v>
      </c>
      <c r="I160" s="40" t="s">
        <v>21</v>
      </c>
      <c r="J160" s="92" t="s">
        <v>90</v>
      </c>
      <c r="K160" s="18" t="s">
        <v>91</v>
      </c>
      <c r="L160" s="145">
        <v>45692</v>
      </c>
      <c r="M160" s="146">
        <f>L160+1096</f>
        <v>46788</v>
      </c>
      <c r="N160" s="24" t="str">
        <f t="shared" ca="1" si="7"/>
        <v>Em Uso</v>
      </c>
      <c r="O160" s="165" t="s">
        <v>27</v>
      </c>
    </row>
    <row r="161" spans="1:16" s="2" customFormat="1" ht="13" x14ac:dyDescent="0.3">
      <c r="A161" s="7">
        <v>152</v>
      </c>
      <c r="B161" s="159">
        <v>12014318</v>
      </c>
      <c r="C161" s="7">
        <v>59113</v>
      </c>
      <c r="D161" s="26">
        <v>70000310</v>
      </c>
      <c r="E161" s="26">
        <v>84239010</v>
      </c>
      <c r="F161" s="7" t="s">
        <v>189</v>
      </c>
      <c r="G161" s="276" t="s">
        <v>190</v>
      </c>
      <c r="H161" s="112" t="s">
        <v>30</v>
      </c>
      <c r="I161" s="40" t="s">
        <v>21</v>
      </c>
      <c r="J161" s="25" t="s">
        <v>90</v>
      </c>
      <c r="K161" s="7" t="s">
        <v>91</v>
      </c>
      <c r="L161" s="140">
        <v>45692</v>
      </c>
      <c r="M161" s="148">
        <f>L161+1096</f>
        <v>46788</v>
      </c>
      <c r="N161" s="24" t="str">
        <f t="shared" ca="1" si="7"/>
        <v>Em Uso</v>
      </c>
      <c r="O161" s="136"/>
    </row>
    <row r="162" spans="1:16" s="2" customFormat="1" ht="13" x14ac:dyDescent="0.3">
      <c r="A162" s="7">
        <v>153</v>
      </c>
      <c r="B162" s="40">
        <v>12014317</v>
      </c>
      <c r="C162" s="7">
        <v>59112</v>
      </c>
      <c r="D162" s="26">
        <v>70000310</v>
      </c>
      <c r="E162" s="26">
        <v>84239010</v>
      </c>
      <c r="F162" s="7">
        <v>518</v>
      </c>
      <c r="G162" s="29" t="s">
        <v>191</v>
      </c>
      <c r="H162" s="158" t="s">
        <v>20</v>
      </c>
      <c r="I162" s="40" t="s">
        <v>21</v>
      </c>
      <c r="J162" s="25" t="s">
        <v>90</v>
      </c>
      <c r="K162" s="7" t="s">
        <v>91</v>
      </c>
      <c r="L162" s="147">
        <v>46056</v>
      </c>
      <c r="M162" s="141">
        <f>L162+1095+1</f>
        <v>47152</v>
      </c>
      <c r="N162" s="24" t="str">
        <f t="shared" ca="1" si="7"/>
        <v>Em Uso</v>
      </c>
      <c r="O162" s="279"/>
      <c r="P162" s="94"/>
    </row>
    <row r="163" spans="1:16" s="2" customFormat="1" ht="13" x14ac:dyDescent="0.3">
      <c r="A163" s="7">
        <v>154</v>
      </c>
      <c r="B163" s="40">
        <v>12014357</v>
      </c>
      <c r="C163" s="7"/>
      <c r="D163" s="26">
        <v>70000310</v>
      </c>
      <c r="E163" s="26">
        <v>84239010</v>
      </c>
      <c r="F163" s="7" t="s">
        <v>192</v>
      </c>
      <c r="G163" s="29" t="s">
        <v>193</v>
      </c>
      <c r="H163" s="116" t="s">
        <v>29</v>
      </c>
      <c r="I163" s="40" t="s">
        <v>21</v>
      </c>
      <c r="J163" s="25" t="s">
        <v>194</v>
      </c>
      <c r="K163" s="7" t="s">
        <v>91</v>
      </c>
      <c r="L163" s="140">
        <v>46155</v>
      </c>
      <c r="M163" s="148">
        <f>L163+1096</f>
        <v>47251</v>
      </c>
      <c r="N163" s="24" t="str">
        <f t="shared" ca="1" si="7"/>
        <v>Em Uso</v>
      </c>
      <c r="O163" s="353"/>
      <c r="P163" s="94"/>
    </row>
    <row r="164" spans="1:16" s="180" customFormat="1" ht="13.5" thickBot="1" x14ac:dyDescent="0.35">
      <c r="A164" s="7">
        <v>155</v>
      </c>
      <c r="B164" s="171">
        <v>12034574</v>
      </c>
      <c r="C164" s="170">
        <v>202043</v>
      </c>
      <c r="D164" s="172" t="s">
        <v>195</v>
      </c>
      <c r="E164" s="172">
        <v>84239010</v>
      </c>
      <c r="F164" s="170" t="s">
        <v>196</v>
      </c>
      <c r="G164" s="189" t="s">
        <v>197</v>
      </c>
      <c r="H164" s="208" t="s">
        <v>28</v>
      </c>
      <c r="I164" s="171" t="s">
        <v>21</v>
      </c>
      <c r="J164" s="174" t="s">
        <v>194</v>
      </c>
      <c r="K164" s="170" t="s">
        <v>91</v>
      </c>
      <c r="L164" s="202">
        <v>45572</v>
      </c>
      <c r="M164" s="203">
        <f>L164+1096</f>
        <v>46668</v>
      </c>
      <c r="N164" s="24" t="str">
        <f t="shared" ca="1" si="7"/>
        <v>Em Uso</v>
      </c>
      <c r="O164" s="178"/>
      <c r="P164" s="179"/>
    </row>
    <row r="165" spans="1:16" s="2" customFormat="1" ht="13" x14ac:dyDescent="0.3">
      <c r="A165" s="7">
        <v>156</v>
      </c>
      <c r="B165" s="113">
        <v>12014177</v>
      </c>
      <c r="C165" s="18">
        <v>59114</v>
      </c>
      <c r="D165" s="27" t="s">
        <v>198</v>
      </c>
      <c r="E165" s="27">
        <v>84239010</v>
      </c>
      <c r="F165" s="18" t="s">
        <v>199</v>
      </c>
      <c r="G165" s="110" t="s">
        <v>200</v>
      </c>
      <c r="H165" s="106" t="s">
        <v>30</v>
      </c>
      <c r="I165" s="91" t="s">
        <v>21</v>
      </c>
      <c r="J165" s="92" t="s">
        <v>90</v>
      </c>
      <c r="K165" s="18" t="s">
        <v>91</v>
      </c>
      <c r="L165" s="143">
        <v>45692</v>
      </c>
      <c r="M165" s="146">
        <f>L165+1096</f>
        <v>46788</v>
      </c>
      <c r="N165" s="24" t="str">
        <f t="shared" ca="1" si="7"/>
        <v>Em Uso</v>
      </c>
      <c r="O165" s="136"/>
      <c r="P165" s="94"/>
    </row>
    <row r="166" spans="1:16" s="2" customFormat="1" ht="13" x14ac:dyDescent="0.3">
      <c r="A166" s="7">
        <v>157</v>
      </c>
      <c r="B166" s="40">
        <v>12014358</v>
      </c>
      <c r="C166" s="7" t="s">
        <v>129</v>
      </c>
      <c r="D166" s="26" t="s">
        <v>198</v>
      </c>
      <c r="E166" s="26">
        <v>84239010</v>
      </c>
      <c r="F166" s="7" t="s">
        <v>201</v>
      </c>
      <c r="G166" s="29" t="s">
        <v>202</v>
      </c>
      <c r="H166" s="116" t="s">
        <v>29</v>
      </c>
      <c r="I166" s="40" t="s">
        <v>21</v>
      </c>
      <c r="J166" s="25" t="s">
        <v>194</v>
      </c>
      <c r="K166" s="7" t="s">
        <v>91</v>
      </c>
      <c r="L166" s="140">
        <v>45833</v>
      </c>
      <c r="M166" s="148">
        <f>L166+1080+16</f>
        <v>46929</v>
      </c>
      <c r="N166" s="24" t="str">
        <f t="shared" ca="1" si="7"/>
        <v>Em Uso</v>
      </c>
      <c r="O166" s="136"/>
      <c r="P166" s="94"/>
    </row>
    <row r="167" spans="1:16" s="2" customFormat="1" ht="13" x14ac:dyDescent="0.3">
      <c r="A167" s="7">
        <v>158</v>
      </c>
      <c r="B167" s="159">
        <v>12014319</v>
      </c>
      <c r="C167" s="7">
        <v>59115</v>
      </c>
      <c r="D167" s="26" t="s">
        <v>198</v>
      </c>
      <c r="E167" s="26">
        <v>84239010</v>
      </c>
      <c r="F167" s="7">
        <v>508</v>
      </c>
      <c r="G167" s="110" t="s">
        <v>202</v>
      </c>
      <c r="H167" s="111" t="s">
        <v>26</v>
      </c>
      <c r="I167" s="40" t="s">
        <v>21</v>
      </c>
      <c r="J167" s="25" t="s">
        <v>90</v>
      </c>
      <c r="K167" s="7" t="s">
        <v>91</v>
      </c>
      <c r="L167" s="147">
        <v>45692</v>
      </c>
      <c r="M167" s="148">
        <f>L167+1096</f>
        <v>46788</v>
      </c>
      <c r="N167" s="24" t="str">
        <f t="shared" ca="1" si="7"/>
        <v>Em Uso</v>
      </c>
      <c r="O167" s="165" t="s">
        <v>27</v>
      </c>
    </row>
    <row r="168" spans="1:16" s="2" customFormat="1" ht="13" x14ac:dyDescent="0.3">
      <c r="A168" s="7">
        <v>159</v>
      </c>
      <c r="B168" s="40">
        <v>12014320</v>
      </c>
      <c r="C168" s="7">
        <v>59116</v>
      </c>
      <c r="D168" s="26" t="s">
        <v>198</v>
      </c>
      <c r="E168" s="26">
        <v>84239010</v>
      </c>
      <c r="F168" s="7">
        <v>524</v>
      </c>
      <c r="G168" s="29" t="s">
        <v>202</v>
      </c>
      <c r="H168" s="158" t="s">
        <v>20</v>
      </c>
      <c r="I168" s="40" t="s">
        <v>21</v>
      </c>
      <c r="J168" s="25" t="s">
        <v>194</v>
      </c>
      <c r="K168" s="7" t="s">
        <v>91</v>
      </c>
      <c r="L168" s="140">
        <v>45271</v>
      </c>
      <c r="M168" s="148">
        <f>L168+1096</f>
        <v>46367</v>
      </c>
      <c r="N168" s="24" t="str">
        <f t="shared" ca="1" si="7"/>
        <v>Sol. Cal.</v>
      </c>
      <c r="O168" s="136"/>
    </row>
    <row r="169" spans="1:16" s="180" customFormat="1" ht="13.5" thickBot="1" x14ac:dyDescent="0.35">
      <c r="A169" s="7">
        <v>160</v>
      </c>
      <c r="B169" s="171">
        <v>12035247</v>
      </c>
      <c r="C169" s="7">
        <v>202638</v>
      </c>
      <c r="D169" s="172" t="s">
        <v>203</v>
      </c>
      <c r="E169" s="172">
        <v>84239010</v>
      </c>
      <c r="F169" s="170" t="s">
        <v>204</v>
      </c>
      <c r="G169" s="239" t="s">
        <v>205</v>
      </c>
      <c r="H169" s="208" t="s">
        <v>28</v>
      </c>
      <c r="I169" s="171" t="s">
        <v>21</v>
      </c>
      <c r="J169" s="174" t="s">
        <v>90</v>
      </c>
      <c r="K169" s="170" t="s">
        <v>91</v>
      </c>
      <c r="L169" s="202">
        <v>45964</v>
      </c>
      <c r="M169" s="203">
        <f>L169+1080+16</f>
        <v>47060</v>
      </c>
      <c r="N169" s="24" t="str">
        <f t="shared" ca="1" si="7"/>
        <v>Em Uso</v>
      </c>
      <c r="O169" s="194"/>
    </row>
    <row r="170" spans="1:16" s="2" customFormat="1" ht="13" x14ac:dyDescent="0.3">
      <c r="A170" s="7">
        <v>161</v>
      </c>
      <c r="B170" s="91">
        <v>12014321</v>
      </c>
      <c r="C170" s="18">
        <v>59117</v>
      </c>
      <c r="D170" s="27" t="s">
        <v>206</v>
      </c>
      <c r="E170" s="27" t="s">
        <v>207</v>
      </c>
      <c r="F170" s="18" t="s">
        <v>208</v>
      </c>
      <c r="G170" s="27" t="s">
        <v>209</v>
      </c>
      <c r="H170" s="91" t="s">
        <v>35</v>
      </c>
      <c r="I170" s="164" t="s">
        <v>132</v>
      </c>
      <c r="J170" s="92" t="s">
        <v>83</v>
      </c>
      <c r="K170" s="18" t="s">
        <v>91</v>
      </c>
      <c r="L170" s="143">
        <v>45105</v>
      </c>
      <c r="M170" s="144">
        <f>L170+1095+0</f>
        <v>46200</v>
      </c>
      <c r="N170" s="24" t="str">
        <f t="shared" ca="1" si="7"/>
        <v>Vencido</v>
      </c>
      <c r="O170" s="169" t="s">
        <v>153</v>
      </c>
    </row>
    <row r="171" spans="1:16" s="2" customFormat="1" ht="13" x14ac:dyDescent="0.3">
      <c r="A171" s="7">
        <v>162</v>
      </c>
      <c r="B171" s="40">
        <v>12014322</v>
      </c>
      <c r="C171" s="7">
        <v>59118</v>
      </c>
      <c r="D171" s="26" t="s">
        <v>206</v>
      </c>
      <c r="E171" s="26" t="s">
        <v>207</v>
      </c>
      <c r="F171" s="7" t="s">
        <v>210</v>
      </c>
      <c r="G171" s="26" t="s">
        <v>209</v>
      </c>
      <c r="H171" s="40" t="s">
        <v>35</v>
      </c>
      <c r="I171" s="40" t="s">
        <v>21</v>
      </c>
      <c r="J171" s="25" t="s">
        <v>83</v>
      </c>
      <c r="K171" s="7" t="s">
        <v>91</v>
      </c>
      <c r="L171" s="140">
        <v>44225</v>
      </c>
      <c r="M171" s="141">
        <f>IF(K171="12 meses",L171+363,IF(K171="24 meses",L171+720,IF(K171="36 meses",L171+1095)))</f>
        <v>45320</v>
      </c>
      <c r="N171" s="24" t="str">
        <f t="shared" ca="1" si="7"/>
        <v>Vencido</v>
      </c>
      <c r="O171" s="136" t="s">
        <v>153</v>
      </c>
    </row>
    <row r="172" spans="1:16" s="2" customFormat="1" ht="13" x14ac:dyDescent="0.3">
      <c r="A172" s="7">
        <v>163</v>
      </c>
      <c r="B172" s="159">
        <v>12030620</v>
      </c>
      <c r="C172" s="78"/>
      <c r="D172" s="79" t="s">
        <v>211</v>
      </c>
      <c r="E172" s="79" t="s">
        <v>207</v>
      </c>
      <c r="F172" s="78"/>
      <c r="G172" s="26" t="s">
        <v>209</v>
      </c>
      <c r="H172" s="40" t="s">
        <v>35</v>
      </c>
      <c r="I172" s="139" t="s">
        <v>132</v>
      </c>
      <c r="J172" s="25" t="s">
        <v>83</v>
      </c>
      <c r="K172" s="7" t="s">
        <v>91</v>
      </c>
      <c r="L172" s="140">
        <v>45356</v>
      </c>
      <c r="M172" s="141">
        <f>IF(K172="12 meses",L172+367,IF(K172="24 meses",L172+731,IF(K172="36 meses",L172+1096)))</f>
        <v>46452</v>
      </c>
      <c r="N172" s="24" t="str">
        <f t="shared" ca="1" si="7"/>
        <v>Em Uso</v>
      </c>
      <c r="O172" s="165" t="s">
        <v>27</v>
      </c>
    </row>
    <row r="173" spans="1:16" s="180" customFormat="1" ht="13.5" thickBot="1" x14ac:dyDescent="0.35">
      <c r="A173" s="7">
        <v>164</v>
      </c>
      <c r="B173" s="182">
        <v>12030621</v>
      </c>
      <c r="C173" s="209"/>
      <c r="D173" s="210" t="s">
        <v>211</v>
      </c>
      <c r="E173" s="210" t="s">
        <v>207</v>
      </c>
      <c r="F173" s="209"/>
      <c r="G173" s="172" t="s">
        <v>209</v>
      </c>
      <c r="H173" s="171" t="s">
        <v>212</v>
      </c>
      <c r="I173" s="171" t="s">
        <v>152</v>
      </c>
      <c r="J173" s="174" t="s">
        <v>83</v>
      </c>
      <c r="K173" s="170" t="s">
        <v>91</v>
      </c>
      <c r="L173" s="175">
        <v>45356</v>
      </c>
      <c r="M173" s="176">
        <f>IF(K173="12 meses",L173+367,IF(K173="24 meses",L173+731,IF(K173="36 meses",L173+1096)))</f>
        <v>46452</v>
      </c>
      <c r="N173" s="24" t="str">
        <f t="shared" ca="1" si="7"/>
        <v>Em Uso</v>
      </c>
      <c r="O173" s="178"/>
    </row>
    <row r="174" spans="1:16" s="2" customFormat="1" ht="13" x14ac:dyDescent="0.3">
      <c r="A174" s="7">
        <v>165</v>
      </c>
      <c r="B174" s="91">
        <v>12014323</v>
      </c>
      <c r="C174" s="18">
        <v>59119</v>
      </c>
      <c r="D174" s="157" t="s">
        <v>213</v>
      </c>
      <c r="E174" s="27" t="s">
        <v>207</v>
      </c>
      <c r="F174" s="18" t="s">
        <v>214</v>
      </c>
      <c r="G174" s="110" t="s">
        <v>215</v>
      </c>
      <c r="H174" s="111" t="s">
        <v>26</v>
      </c>
      <c r="I174" s="40" t="s">
        <v>21</v>
      </c>
      <c r="J174" s="92" t="s">
        <v>83</v>
      </c>
      <c r="K174" s="18" t="s">
        <v>91</v>
      </c>
      <c r="L174" s="145">
        <v>45588</v>
      </c>
      <c r="M174" s="144">
        <f>IF(K174="12 meses",L174+365,IF(K174="24 meses",L174+731,IF(K174="36 meses",L174+1096)))</f>
        <v>46684</v>
      </c>
      <c r="N174" s="24" t="str">
        <f t="shared" ca="1" si="7"/>
        <v>Em Uso</v>
      </c>
      <c r="O174" s="165" t="s">
        <v>27</v>
      </c>
      <c r="P174" s="94"/>
    </row>
    <row r="175" spans="1:16" s="2" customFormat="1" ht="13" x14ac:dyDescent="0.3">
      <c r="A175" s="7">
        <v>166</v>
      </c>
      <c r="B175" s="40">
        <v>12014324</v>
      </c>
      <c r="C175" s="7">
        <v>59120</v>
      </c>
      <c r="D175" s="79" t="s">
        <v>213</v>
      </c>
      <c r="E175" s="26" t="s">
        <v>207</v>
      </c>
      <c r="F175" s="7">
        <v>825</v>
      </c>
      <c r="G175" s="29" t="s">
        <v>216</v>
      </c>
      <c r="H175" s="158" t="s">
        <v>20</v>
      </c>
      <c r="I175" s="40" t="s">
        <v>21</v>
      </c>
      <c r="J175" s="25" t="s">
        <v>83</v>
      </c>
      <c r="K175" s="7" t="s">
        <v>91</v>
      </c>
      <c r="L175" s="147">
        <v>45271</v>
      </c>
      <c r="M175" s="148">
        <f>L175+1095</f>
        <v>46366</v>
      </c>
      <c r="N175" s="24" t="str">
        <f t="shared" ca="1" si="7"/>
        <v>Sol. Cal.</v>
      </c>
      <c r="O175" s="165"/>
      <c r="P175" s="95"/>
    </row>
    <row r="176" spans="1:16" s="2" customFormat="1" ht="13" x14ac:dyDescent="0.3">
      <c r="A176" s="7">
        <v>167</v>
      </c>
      <c r="B176" s="159">
        <v>12014325</v>
      </c>
      <c r="C176" s="78">
        <v>59121</v>
      </c>
      <c r="D176" s="79" t="s">
        <v>213</v>
      </c>
      <c r="E176" s="79" t="s">
        <v>207</v>
      </c>
      <c r="F176" s="78">
        <v>649</v>
      </c>
      <c r="G176" s="80" t="s">
        <v>215</v>
      </c>
      <c r="H176" s="159" t="s">
        <v>35</v>
      </c>
      <c r="I176" s="40" t="s">
        <v>21</v>
      </c>
      <c r="J176" s="25" t="s">
        <v>83</v>
      </c>
      <c r="K176" s="7" t="s">
        <v>91</v>
      </c>
      <c r="L176" s="140">
        <v>44601</v>
      </c>
      <c r="M176" s="141">
        <f>IF(K176="12 meses",L176+367,IF(K176="24 meses",L176+731,IF(K176="36 meses",L176+1096)))</f>
        <v>45697</v>
      </c>
      <c r="N176" s="24" t="str">
        <f t="shared" ca="1" si="7"/>
        <v>Vencido</v>
      </c>
      <c r="O176" s="136" t="s">
        <v>153</v>
      </c>
      <c r="P176" s="94"/>
    </row>
    <row r="177" spans="1:16" s="2" customFormat="1" ht="13" x14ac:dyDescent="0.3">
      <c r="A177" s="7">
        <v>168</v>
      </c>
      <c r="B177" s="159">
        <v>12030616</v>
      </c>
      <c r="C177" s="78"/>
      <c r="D177" s="79" t="s">
        <v>213</v>
      </c>
      <c r="E177" s="79" t="s">
        <v>207</v>
      </c>
      <c r="F177" s="78" t="s">
        <v>217</v>
      </c>
      <c r="G177" s="80" t="s">
        <v>215</v>
      </c>
      <c r="H177" s="161" t="s">
        <v>28</v>
      </c>
      <c r="I177" s="40" t="s">
        <v>21</v>
      </c>
      <c r="J177" s="25" t="s">
        <v>83</v>
      </c>
      <c r="K177" s="7" t="s">
        <v>91</v>
      </c>
      <c r="L177" s="140">
        <v>45356</v>
      </c>
      <c r="M177" s="141">
        <f>IF(K177="12 meses",L177+367,IF(K177="24 meses",L177+731,IF(K177="36 meses",L177+1096)))</f>
        <v>46452</v>
      </c>
      <c r="N177" s="24" t="str">
        <f t="shared" ca="1" si="7"/>
        <v>Em Uso</v>
      </c>
      <c r="O177" s="136"/>
      <c r="P177" s="94"/>
    </row>
    <row r="178" spans="1:16" s="2" customFormat="1" ht="13" x14ac:dyDescent="0.3">
      <c r="A178" s="7">
        <v>169</v>
      </c>
      <c r="B178" s="159">
        <v>12030617</v>
      </c>
      <c r="C178" s="78"/>
      <c r="D178" s="79" t="s">
        <v>213</v>
      </c>
      <c r="E178" s="79" t="s">
        <v>207</v>
      </c>
      <c r="F178" s="78" t="s">
        <v>218</v>
      </c>
      <c r="G178" s="80" t="s">
        <v>215</v>
      </c>
      <c r="H178" s="158" t="s">
        <v>20</v>
      </c>
      <c r="I178" s="40" t="s">
        <v>21</v>
      </c>
      <c r="J178" s="25" t="s">
        <v>83</v>
      </c>
      <c r="K178" s="7" t="s">
        <v>91</v>
      </c>
      <c r="L178" s="140">
        <v>45356</v>
      </c>
      <c r="M178" s="141">
        <f>IF(K178="12 meses",L178+367,IF(K178="24 meses",L178+731,IF(K178="36 meses",L178+1096)))</f>
        <v>46452</v>
      </c>
      <c r="N178" s="24" t="str">
        <f t="shared" ca="1" si="7"/>
        <v>Em Uso</v>
      </c>
      <c r="O178" s="136"/>
      <c r="P178" s="94"/>
    </row>
    <row r="179" spans="1:16" s="2" customFormat="1" ht="13" x14ac:dyDescent="0.3">
      <c r="A179" s="7">
        <v>170</v>
      </c>
      <c r="B179" s="159">
        <v>12030618</v>
      </c>
      <c r="C179" s="78"/>
      <c r="D179" s="79" t="s">
        <v>213</v>
      </c>
      <c r="E179" s="79" t="s">
        <v>207</v>
      </c>
      <c r="F179" s="78" t="s">
        <v>219</v>
      </c>
      <c r="G179" s="80" t="s">
        <v>215</v>
      </c>
      <c r="H179" s="112" t="s">
        <v>30</v>
      </c>
      <c r="I179" s="40" t="s">
        <v>21</v>
      </c>
      <c r="J179" s="25" t="s">
        <v>83</v>
      </c>
      <c r="K179" s="7" t="s">
        <v>91</v>
      </c>
      <c r="L179" s="140">
        <v>45356</v>
      </c>
      <c r="M179" s="141">
        <f>IF(K179="12 meses",L179+367,IF(K179="24 meses",L179+731,IF(K179="36 meses",L179+1096)))</f>
        <v>46452</v>
      </c>
      <c r="N179" s="24" t="str">
        <f t="shared" ca="1" si="7"/>
        <v>Em Uso</v>
      </c>
      <c r="O179" s="136"/>
      <c r="P179" s="94"/>
    </row>
    <row r="180" spans="1:16" s="180" customFormat="1" ht="13.5" thickBot="1" x14ac:dyDescent="0.35">
      <c r="A180" s="7">
        <v>171</v>
      </c>
      <c r="B180" s="182">
        <v>12030619</v>
      </c>
      <c r="C180" s="209"/>
      <c r="D180" s="210" t="s">
        <v>213</v>
      </c>
      <c r="E180" s="210" t="s">
        <v>207</v>
      </c>
      <c r="F180" s="209" t="s">
        <v>220</v>
      </c>
      <c r="G180" s="211" t="s">
        <v>215</v>
      </c>
      <c r="H180" s="188" t="s">
        <v>29</v>
      </c>
      <c r="I180" s="171" t="s">
        <v>21</v>
      </c>
      <c r="J180" s="174" t="s">
        <v>83</v>
      </c>
      <c r="K180" s="170" t="s">
        <v>91</v>
      </c>
      <c r="L180" s="175">
        <v>45356</v>
      </c>
      <c r="M180" s="176">
        <f>IF(K180="12 meses",L180+367,IF(K180="24 meses",L180+731,IF(K180="36 meses",L180+1096)))</f>
        <v>46452</v>
      </c>
      <c r="N180" s="24" t="str">
        <f t="shared" ca="1" si="7"/>
        <v>Em Uso</v>
      </c>
      <c r="O180" s="178"/>
      <c r="P180" s="179"/>
    </row>
    <row r="181" spans="1:16" s="2" customFormat="1" ht="13" x14ac:dyDescent="0.3">
      <c r="A181" s="7">
        <v>172</v>
      </c>
      <c r="B181" s="113">
        <v>12014173</v>
      </c>
      <c r="C181" s="18"/>
      <c r="D181" s="27" t="s">
        <v>221</v>
      </c>
      <c r="E181" s="27">
        <v>90318100</v>
      </c>
      <c r="F181" s="18">
        <v>2140239</v>
      </c>
      <c r="G181" s="110" t="s">
        <v>222</v>
      </c>
      <c r="H181" s="105" t="s">
        <v>29</v>
      </c>
      <c r="I181" s="91" t="s">
        <v>21</v>
      </c>
      <c r="J181" s="92" t="s">
        <v>56</v>
      </c>
      <c r="K181" s="18" t="s">
        <v>23</v>
      </c>
      <c r="L181" s="143">
        <v>45909</v>
      </c>
      <c r="M181" s="144">
        <f>IF(K181="12 meses",L181+365,IF(K181="24 meses",L181+731,IF(K181="36 meses",L181+1095)))</f>
        <v>46640</v>
      </c>
      <c r="N181" s="24" t="str">
        <f t="shared" ca="1" si="7"/>
        <v>Em Uso</v>
      </c>
      <c r="O181" s="169"/>
      <c r="P181" s="94"/>
    </row>
    <row r="182" spans="1:16" s="2" customFormat="1" ht="13" x14ac:dyDescent="0.3">
      <c r="A182" s="7">
        <v>173</v>
      </c>
      <c r="B182" s="159">
        <v>12014351</v>
      </c>
      <c r="C182" s="7"/>
      <c r="D182" s="26" t="s">
        <v>221</v>
      </c>
      <c r="E182" s="26">
        <v>90318099</v>
      </c>
      <c r="F182" s="7">
        <v>2140238</v>
      </c>
      <c r="G182" s="29" t="s">
        <v>222</v>
      </c>
      <c r="H182" s="112" t="s">
        <v>30</v>
      </c>
      <c r="I182" s="40" t="s">
        <v>21</v>
      </c>
      <c r="J182" s="25" t="s">
        <v>56</v>
      </c>
      <c r="K182" s="7" t="s">
        <v>23</v>
      </c>
      <c r="L182" s="140">
        <v>45699</v>
      </c>
      <c r="M182" s="141">
        <f>IF(K182="12 meses",L182+365,IF(K182="24 meses",L182+730,IF(K182="36 meses",L182+1096)))</f>
        <v>46429</v>
      </c>
      <c r="N182" s="24" t="str">
        <f t="shared" ca="1" si="7"/>
        <v>Em Uso</v>
      </c>
      <c r="O182" s="186"/>
      <c r="P182" s="94"/>
    </row>
    <row r="183" spans="1:16" s="2" customFormat="1" ht="13" x14ac:dyDescent="0.3">
      <c r="A183" s="7">
        <v>174</v>
      </c>
      <c r="B183" s="159">
        <v>12014352</v>
      </c>
      <c r="C183" s="7"/>
      <c r="D183" s="26" t="s">
        <v>221</v>
      </c>
      <c r="E183" s="26">
        <v>90318101</v>
      </c>
      <c r="F183" s="7">
        <v>2140240</v>
      </c>
      <c r="G183" s="29" t="s">
        <v>222</v>
      </c>
      <c r="H183" s="111" t="s">
        <v>26</v>
      </c>
      <c r="I183" s="40" t="s">
        <v>21</v>
      </c>
      <c r="J183" s="25" t="s">
        <v>56</v>
      </c>
      <c r="K183" s="7" t="s">
        <v>23</v>
      </c>
      <c r="L183" s="140">
        <v>45699</v>
      </c>
      <c r="M183" s="141">
        <f>IF(K183="12 meses",L183+365,IF(K183="24 meses",L183+730,IF(K183="36 meses",L183+1095)))</f>
        <v>46429</v>
      </c>
      <c r="N183" s="24" t="str">
        <f t="shared" ca="1" si="7"/>
        <v>Em Uso</v>
      </c>
      <c r="O183" s="165" t="s">
        <v>27</v>
      </c>
      <c r="P183" s="94"/>
    </row>
    <row r="184" spans="1:16" s="2" customFormat="1" ht="13" x14ac:dyDescent="0.3">
      <c r="A184" s="7">
        <v>175</v>
      </c>
      <c r="B184" s="159">
        <v>12019051</v>
      </c>
      <c r="C184" s="7"/>
      <c r="D184" s="62">
        <v>1101830000042</v>
      </c>
      <c r="E184" s="26">
        <v>90318099</v>
      </c>
      <c r="F184" s="7">
        <v>71091356</v>
      </c>
      <c r="G184" s="29" t="s">
        <v>223</v>
      </c>
      <c r="H184" s="158" t="s">
        <v>20</v>
      </c>
      <c r="I184" s="40" t="s">
        <v>21</v>
      </c>
      <c r="J184" s="25" t="s">
        <v>56</v>
      </c>
      <c r="K184" s="7" t="s">
        <v>23</v>
      </c>
      <c r="L184" s="140">
        <v>45693</v>
      </c>
      <c r="M184" s="141">
        <f>IF(K184="12 meses",L184+366,IF(K184="24 meses",L184+730,IF(K184="36 meses",L184+1096)))</f>
        <v>46423</v>
      </c>
      <c r="N184" s="24" t="str">
        <f t="shared" ca="1" si="7"/>
        <v>Em Uso</v>
      </c>
      <c r="O184" s="309"/>
      <c r="P184" s="94"/>
    </row>
    <row r="185" spans="1:16" s="2" customFormat="1" ht="13" x14ac:dyDescent="0.3">
      <c r="A185" s="7">
        <v>176</v>
      </c>
      <c r="B185" s="159">
        <v>12014326</v>
      </c>
      <c r="C185" s="7">
        <v>59122</v>
      </c>
      <c r="D185" s="62" t="s">
        <v>224</v>
      </c>
      <c r="E185" s="26">
        <v>90318099</v>
      </c>
      <c r="F185" s="7">
        <v>70090145</v>
      </c>
      <c r="G185" s="29" t="s">
        <v>223</v>
      </c>
      <c r="H185" s="116" t="s">
        <v>29</v>
      </c>
      <c r="I185" s="40" t="s">
        <v>21</v>
      </c>
      <c r="J185" s="25" t="s">
        <v>56</v>
      </c>
      <c r="K185" s="7" t="s">
        <v>23</v>
      </c>
      <c r="L185" s="140">
        <v>46050</v>
      </c>
      <c r="M185" s="141">
        <f>IF(K185="12 meses",L185+367,IF(K185="24 meses",L185+731,IF(K185="36 meses",L185+1096)))</f>
        <v>46781</v>
      </c>
      <c r="N185" s="57" t="str">
        <f t="shared" ca="1" si="7"/>
        <v>Em Uso</v>
      </c>
      <c r="O185" s="363"/>
      <c r="P185" s="94"/>
    </row>
    <row r="186" spans="1:16" s="2" customFormat="1" ht="13" x14ac:dyDescent="0.3">
      <c r="A186" s="7">
        <v>177</v>
      </c>
      <c r="B186" s="159">
        <v>12035255</v>
      </c>
      <c r="C186" s="7"/>
      <c r="D186" s="62" t="s">
        <v>224</v>
      </c>
      <c r="E186" s="26">
        <v>90318099</v>
      </c>
      <c r="F186" s="7">
        <v>4337660</v>
      </c>
      <c r="G186" s="29" t="s">
        <v>223</v>
      </c>
      <c r="H186" s="161" t="s">
        <v>28</v>
      </c>
      <c r="I186" s="40" t="s">
        <v>21</v>
      </c>
      <c r="J186" s="25" t="s">
        <v>56</v>
      </c>
      <c r="K186" s="7" t="s">
        <v>23</v>
      </c>
      <c r="L186" s="140">
        <v>45693</v>
      </c>
      <c r="M186" s="141">
        <f>IF(K186="12 meses",L186+367,IF(K186="24 meses",L186+731,IF(K186="36 meses",L186+1096)))</f>
        <v>46424</v>
      </c>
      <c r="N186" s="24" t="str">
        <f t="shared" ca="1" si="7"/>
        <v>Em Uso</v>
      </c>
      <c r="O186" s="186"/>
      <c r="P186" s="94"/>
    </row>
    <row r="187" spans="1:16" s="2" customFormat="1" ht="13" x14ac:dyDescent="0.3">
      <c r="A187" s="7">
        <v>178</v>
      </c>
      <c r="B187" s="159">
        <v>12014359</v>
      </c>
      <c r="C187" s="7"/>
      <c r="D187" s="62" t="s">
        <v>224</v>
      </c>
      <c r="E187" s="26">
        <v>90318099</v>
      </c>
      <c r="F187" s="7">
        <v>7975</v>
      </c>
      <c r="G187" s="29" t="s">
        <v>223</v>
      </c>
      <c r="H187" s="111" t="s">
        <v>26</v>
      </c>
      <c r="I187" s="40" t="s">
        <v>21</v>
      </c>
      <c r="J187" s="25" t="s">
        <v>56</v>
      </c>
      <c r="K187" s="7" t="s">
        <v>23</v>
      </c>
      <c r="L187" s="147">
        <v>45708</v>
      </c>
      <c r="M187" s="141">
        <f>IF(K187="12 meses",L187+730,IF(K187="24 meses",L187+730,IF(K187="24 meses",L187+1094)))</f>
        <v>46438</v>
      </c>
      <c r="N187" s="24" t="str">
        <f t="shared" ca="1" si="7"/>
        <v>Em Uso</v>
      </c>
      <c r="O187" s="165" t="s">
        <v>27</v>
      </c>
      <c r="P187" s="94"/>
    </row>
    <row r="188" spans="1:16" s="180" customFormat="1" ht="13.5" thickBot="1" x14ac:dyDescent="0.35">
      <c r="A188" s="7">
        <v>179</v>
      </c>
      <c r="B188" s="182">
        <v>12016002</v>
      </c>
      <c r="C188" s="170">
        <v>61806</v>
      </c>
      <c r="D188" s="201" t="s">
        <v>224</v>
      </c>
      <c r="E188" s="172">
        <v>90318099</v>
      </c>
      <c r="F188" s="170">
        <v>61030946</v>
      </c>
      <c r="G188" s="189" t="s">
        <v>223</v>
      </c>
      <c r="H188" s="173" t="s">
        <v>30</v>
      </c>
      <c r="I188" s="171" t="s">
        <v>21</v>
      </c>
      <c r="J188" s="174" t="s">
        <v>56</v>
      </c>
      <c r="K188" s="170" t="s">
        <v>23</v>
      </c>
      <c r="L188" s="175">
        <v>45701</v>
      </c>
      <c r="M188" s="176">
        <f>IF(K188="12 meses",L188+365,IF(K188="24 meses",L188+730,IF(K188="36 meses",L188+1095)))</f>
        <v>46431</v>
      </c>
      <c r="N188" s="273" t="str">
        <f t="shared" ca="1" si="7"/>
        <v>Em Uso</v>
      </c>
      <c r="O188" s="309"/>
      <c r="P188" s="179"/>
    </row>
    <row r="189" spans="1:16" s="2" customFormat="1" ht="13" x14ac:dyDescent="0.3">
      <c r="A189" s="7">
        <v>180</v>
      </c>
      <c r="B189" s="91">
        <v>12014327</v>
      </c>
      <c r="C189" s="212">
        <v>59123</v>
      </c>
      <c r="D189" s="27" t="s">
        <v>225</v>
      </c>
      <c r="E189" s="27" t="s">
        <v>226</v>
      </c>
      <c r="F189" s="212">
        <v>16654</v>
      </c>
      <c r="G189" s="110" t="s">
        <v>227</v>
      </c>
      <c r="H189" s="91" t="s">
        <v>35</v>
      </c>
      <c r="I189" s="91" t="s">
        <v>21</v>
      </c>
      <c r="J189" s="92" t="s">
        <v>97</v>
      </c>
      <c r="K189" s="18" t="s">
        <v>23</v>
      </c>
      <c r="L189" s="143">
        <v>46199</v>
      </c>
      <c r="M189" s="144">
        <f>L189+730</f>
        <v>46929</v>
      </c>
      <c r="N189" s="58" t="str">
        <f t="shared" ca="1" si="7"/>
        <v>Em Uso</v>
      </c>
      <c r="O189" s="299"/>
      <c r="P189" s="94"/>
    </row>
    <row r="190" spans="1:16" s="2" customFormat="1" ht="13" x14ac:dyDescent="0.3">
      <c r="A190" s="7">
        <v>181</v>
      </c>
      <c r="B190" s="40">
        <v>12014328</v>
      </c>
      <c r="C190" s="19">
        <v>59124</v>
      </c>
      <c r="D190" s="26" t="s">
        <v>228</v>
      </c>
      <c r="E190" s="26" t="s">
        <v>226</v>
      </c>
      <c r="F190" s="19">
        <v>8951</v>
      </c>
      <c r="G190" s="29" t="s">
        <v>229</v>
      </c>
      <c r="H190" s="40" t="s">
        <v>35</v>
      </c>
      <c r="I190" s="40" t="s">
        <v>21</v>
      </c>
      <c r="J190" s="25" t="s">
        <v>97</v>
      </c>
      <c r="K190" s="7" t="s">
        <v>23</v>
      </c>
      <c r="L190" s="140">
        <v>46199</v>
      </c>
      <c r="M190" s="141">
        <f>L190+730</f>
        <v>46929</v>
      </c>
      <c r="N190" s="57" t="str">
        <f t="shared" ca="1" si="7"/>
        <v>Em Uso</v>
      </c>
      <c r="O190" s="299"/>
    </row>
    <row r="191" spans="1:16" s="2" customFormat="1" ht="13" x14ac:dyDescent="0.3">
      <c r="A191" s="7">
        <v>182</v>
      </c>
      <c r="B191" s="40">
        <v>12014329</v>
      </c>
      <c r="C191" s="19">
        <v>59125</v>
      </c>
      <c r="D191" s="26" t="s">
        <v>230</v>
      </c>
      <c r="E191" s="26" t="s">
        <v>226</v>
      </c>
      <c r="F191" s="19">
        <v>17192</v>
      </c>
      <c r="G191" s="29" t="s">
        <v>231</v>
      </c>
      <c r="H191" s="40" t="s">
        <v>35</v>
      </c>
      <c r="I191" s="40" t="s">
        <v>21</v>
      </c>
      <c r="J191" s="25" t="s">
        <v>97</v>
      </c>
      <c r="K191" s="7" t="s">
        <v>23</v>
      </c>
      <c r="L191" s="140">
        <v>46199</v>
      </c>
      <c r="M191" s="141">
        <f>L191+730</f>
        <v>46929</v>
      </c>
      <c r="N191" s="57" t="str">
        <f t="shared" ca="1" si="7"/>
        <v>Em Uso</v>
      </c>
      <c r="O191" s="299"/>
    </row>
    <row r="192" spans="1:16" s="2" customFormat="1" ht="13" x14ac:dyDescent="0.3">
      <c r="A192" s="7">
        <v>183</v>
      </c>
      <c r="B192" s="40">
        <v>12014330</v>
      </c>
      <c r="C192" s="19">
        <v>59126</v>
      </c>
      <c r="D192" s="26" t="s">
        <v>228</v>
      </c>
      <c r="E192" s="26" t="s">
        <v>226</v>
      </c>
      <c r="F192" s="19">
        <v>9499</v>
      </c>
      <c r="G192" s="29" t="s">
        <v>232</v>
      </c>
      <c r="H192" s="111" t="s">
        <v>26</v>
      </c>
      <c r="I192" s="40" t="s">
        <v>21</v>
      </c>
      <c r="J192" s="25" t="s">
        <v>97</v>
      </c>
      <c r="K192" s="7" t="s">
        <v>23</v>
      </c>
      <c r="L192" s="140">
        <v>45769</v>
      </c>
      <c r="M192" s="141">
        <f>L192+730</f>
        <v>46499</v>
      </c>
      <c r="N192" s="57" t="str">
        <f t="shared" ca="1" si="7"/>
        <v>Em Uso</v>
      </c>
      <c r="O192" s="169" t="s">
        <v>143</v>
      </c>
    </row>
    <row r="193" spans="1:17" s="2" customFormat="1" ht="13" x14ac:dyDescent="0.3">
      <c r="A193" s="7">
        <v>184</v>
      </c>
      <c r="B193" s="40">
        <v>12014331</v>
      </c>
      <c r="C193" s="19">
        <v>59127</v>
      </c>
      <c r="D193" s="26" t="s">
        <v>230</v>
      </c>
      <c r="E193" s="26" t="s">
        <v>226</v>
      </c>
      <c r="F193" s="19">
        <v>16058</v>
      </c>
      <c r="G193" s="29" t="s">
        <v>233</v>
      </c>
      <c r="H193" s="111" t="s">
        <v>26</v>
      </c>
      <c r="I193" s="40" t="s">
        <v>21</v>
      </c>
      <c r="J193" s="25" t="s">
        <v>97</v>
      </c>
      <c r="K193" s="7" t="s">
        <v>23</v>
      </c>
      <c r="L193" s="140">
        <v>45769</v>
      </c>
      <c r="M193" s="141">
        <f>L193+730+0</f>
        <v>46499</v>
      </c>
      <c r="N193" s="57" t="str">
        <f t="shared" ca="1" si="7"/>
        <v>Em Uso</v>
      </c>
      <c r="O193" s="169" t="s">
        <v>143</v>
      </c>
      <c r="P193" s="95"/>
    </row>
    <row r="194" spans="1:17" s="180" customFormat="1" ht="13.5" thickBot="1" x14ac:dyDescent="0.35">
      <c r="A194" s="7">
        <v>185</v>
      </c>
      <c r="B194" s="171">
        <v>12014332</v>
      </c>
      <c r="C194" s="214">
        <v>59128</v>
      </c>
      <c r="D194" s="172" t="s">
        <v>225</v>
      </c>
      <c r="E194" s="172" t="s">
        <v>226</v>
      </c>
      <c r="F194" s="214">
        <v>15206</v>
      </c>
      <c r="G194" s="189" t="s">
        <v>234</v>
      </c>
      <c r="H194" s="111" t="s">
        <v>26</v>
      </c>
      <c r="I194" s="40" t="s">
        <v>21</v>
      </c>
      <c r="J194" s="174" t="s">
        <v>97</v>
      </c>
      <c r="K194" s="170" t="s">
        <v>23</v>
      </c>
      <c r="L194" s="175">
        <v>45769</v>
      </c>
      <c r="M194" s="176">
        <f>L194+730</f>
        <v>46499</v>
      </c>
      <c r="N194" s="57" t="str">
        <f t="shared" ca="1" si="7"/>
        <v>Em Uso</v>
      </c>
      <c r="O194" s="169" t="s">
        <v>143</v>
      </c>
      <c r="P194" s="184"/>
    </row>
    <row r="195" spans="1:17" s="2" customFormat="1" ht="13" x14ac:dyDescent="0.3">
      <c r="A195" s="7">
        <v>186</v>
      </c>
      <c r="B195" s="91">
        <v>12014333</v>
      </c>
      <c r="C195" s="18">
        <v>59129</v>
      </c>
      <c r="D195" s="62" t="s">
        <v>235</v>
      </c>
      <c r="E195" s="114">
        <v>90292010</v>
      </c>
      <c r="F195" s="213" t="s">
        <v>236</v>
      </c>
      <c r="G195" s="110" t="s">
        <v>237</v>
      </c>
      <c r="H195" s="40" t="s">
        <v>131</v>
      </c>
      <c r="I195" s="91" t="s">
        <v>152</v>
      </c>
      <c r="J195" s="92" t="s">
        <v>90</v>
      </c>
      <c r="K195" s="18" t="s">
        <v>23</v>
      </c>
      <c r="L195" s="143">
        <v>46111</v>
      </c>
      <c r="M195" s="144">
        <f>L195+730</f>
        <v>46841</v>
      </c>
      <c r="N195" s="24" t="str">
        <f t="shared" ca="1" si="7"/>
        <v>Em Uso</v>
      </c>
      <c r="O195" s="279" t="s">
        <v>133</v>
      </c>
      <c r="P195" s="72"/>
    </row>
    <row r="196" spans="1:17" s="2" customFormat="1" ht="13" x14ac:dyDescent="0.3">
      <c r="A196" s="7">
        <v>187</v>
      </c>
      <c r="B196" s="159">
        <v>12014360</v>
      </c>
      <c r="C196" s="7">
        <v>200937</v>
      </c>
      <c r="D196" s="62" t="s">
        <v>235</v>
      </c>
      <c r="E196" s="62">
        <v>90292010</v>
      </c>
      <c r="F196" s="7" t="s">
        <v>238</v>
      </c>
      <c r="G196" s="29" t="s">
        <v>239</v>
      </c>
      <c r="H196" s="111" t="s">
        <v>26</v>
      </c>
      <c r="I196" s="40" t="s">
        <v>21</v>
      </c>
      <c r="J196" s="25" t="s">
        <v>90</v>
      </c>
      <c r="K196" s="7" t="s">
        <v>23</v>
      </c>
      <c r="L196" s="140">
        <v>46175</v>
      </c>
      <c r="M196" s="141">
        <f>L196+731</f>
        <v>46906</v>
      </c>
      <c r="N196" s="57" t="str">
        <f t="shared" ca="1" si="7"/>
        <v>Em Uso</v>
      </c>
      <c r="O196" s="165" t="s">
        <v>27</v>
      </c>
      <c r="P196" s="94"/>
    </row>
    <row r="197" spans="1:17" s="2" customFormat="1" ht="13.5" thickBot="1" x14ac:dyDescent="0.35">
      <c r="A197" s="7">
        <v>188</v>
      </c>
      <c r="B197" s="159">
        <v>12014335</v>
      </c>
      <c r="C197" s="7">
        <v>59131</v>
      </c>
      <c r="D197" s="62" t="s">
        <v>235</v>
      </c>
      <c r="E197" s="62">
        <v>90292010</v>
      </c>
      <c r="F197" s="7" t="s">
        <v>240</v>
      </c>
      <c r="G197" s="26" t="s">
        <v>239</v>
      </c>
      <c r="H197" s="40" t="s">
        <v>131</v>
      </c>
      <c r="I197" s="91" t="s">
        <v>152</v>
      </c>
      <c r="J197" s="25" t="s">
        <v>90</v>
      </c>
      <c r="K197" s="7" t="s">
        <v>23</v>
      </c>
      <c r="L197" s="140">
        <v>45692</v>
      </c>
      <c r="M197" s="141">
        <f>IF(K197="12 meses",L197+365,IF(K197="24 meses",L197+730,IF(K197="36 meses",L197+1096)))</f>
        <v>46422</v>
      </c>
      <c r="N197" s="24" t="str">
        <f t="shared" ref="N197:N206" ca="1" si="8">IF((TODAY())&gt;M197,"Vencido",IF(M197-(TODAY())&lt;=30,"Sol. Cal. Urgen.",IF(M197-(TODAY())&lt;=120,"Sol. Cal.",IF(M197&gt;(TODAY())+120,"Em Uso"))))</f>
        <v>Em Uso</v>
      </c>
      <c r="O197" s="350" t="s">
        <v>27</v>
      </c>
      <c r="P197" s="94"/>
    </row>
    <row r="198" spans="1:17" s="2" customFormat="1" ht="13" x14ac:dyDescent="0.3">
      <c r="A198" s="7">
        <v>189</v>
      </c>
      <c r="B198" s="159">
        <v>12015978</v>
      </c>
      <c r="C198" s="7">
        <v>61811</v>
      </c>
      <c r="D198" s="62" t="s">
        <v>235</v>
      </c>
      <c r="E198" s="62">
        <v>90292010</v>
      </c>
      <c r="F198" s="7" t="s">
        <v>241</v>
      </c>
      <c r="G198" s="26" t="s">
        <v>239</v>
      </c>
      <c r="H198" s="112" t="s">
        <v>30</v>
      </c>
      <c r="I198" s="40" t="s">
        <v>21</v>
      </c>
      <c r="J198" s="25" t="s">
        <v>90</v>
      </c>
      <c r="K198" s="7" t="s">
        <v>23</v>
      </c>
      <c r="L198" s="140">
        <v>45693</v>
      </c>
      <c r="M198" s="141">
        <f>IF(K198="12 meses",L198+366,IF(K198="24 meses",L198+730,IF(K198="36 meses",L198+1097)))</f>
        <v>46423</v>
      </c>
      <c r="N198" s="24" t="str">
        <f t="shared" ca="1" si="8"/>
        <v>Em Uso</v>
      </c>
      <c r="O198" s="227"/>
      <c r="P198" s="95"/>
    </row>
    <row r="199" spans="1:17" s="2" customFormat="1" ht="13" x14ac:dyDescent="0.3">
      <c r="A199" s="7">
        <v>190</v>
      </c>
      <c r="B199" s="159">
        <v>12015979</v>
      </c>
      <c r="C199" s="7">
        <v>61812</v>
      </c>
      <c r="D199" s="62" t="s">
        <v>235</v>
      </c>
      <c r="E199" s="62">
        <v>90292010</v>
      </c>
      <c r="F199" s="7" t="s">
        <v>242</v>
      </c>
      <c r="G199" s="26" t="s">
        <v>239</v>
      </c>
      <c r="H199" s="116" t="s">
        <v>29</v>
      </c>
      <c r="I199" s="40" t="s">
        <v>21</v>
      </c>
      <c r="J199" s="25" t="s">
        <v>90</v>
      </c>
      <c r="K199" s="7" t="s">
        <v>23</v>
      </c>
      <c r="L199" s="140">
        <v>45693</v>
      </c>
      <c r="M199" s="141">
        <f>IF(K199="12 meses",L199+364,IF(K199="24 meses",L199+730,IF(K199="36 meses",L199+1096)))</f>
        <v>46423</v>
      </c>
      <c r="N199" s="57" t="str">
        <f t="shared" ca="1" si="8"/>
        <v>Em Uso</v>
      </c>
      <c r="O199" s="349"/>
      <c r="P199" s="94"/>
    </row>
    <row r="200" spans="1:17" s="2" customFormat="1" ht="13" x14ac:dyDescent="0.3">
      <c r="A200" s="7">
        <v>191</v>
      </c>
      <c r="B200" s="159">
        <v>12031422</v>
      </c>
      <c r="C200" s="7"/>
      <c r="D200" s="62" t="s">
        <v>235</v>
      </c>
      <c r="E200" s="62">
        <v>90292011</v>
      </c>
      <c r="F200" s="7">
        <v>3817304</v>
      </c>
      <c r="G200" s="26" t="s">
        <v>239</v>
      </c>
      <c r="H200" s="161" t="s">
        <v>28</v>
      </c>
      <c r="I200" s="159"/>
      <c r="J200" s="25" t="s">
        <v>90</v>
      </c>
      <c r="K200" s="7" t="s">
        <v>23</v>
      </c>
      <c r="L200" s="140">
        <v>46147</v>
      </c>
      <c r="M200" s="141">
        <f>IF(K200="12 meses",L200+364,IF(K200="24 meses",L200+730,IF(K200="36 meses",L200+1096)))</f>
        <v>46877</v>
      </c>
      <c r="N200" s="57" t="str">
        <f t="shared" ca="1" si="8"/>
        <v>Em Uso</v>
      </c>
      <c r="O200" s="279"/>
    </row>
    <row r="201" spans="1:17" s="180" customFormat="1" ht="13.5" thickBot="1" x14ac:dyDescent="0.35">
      <c r="A201" s="7">
        <v>192</v>
      </c>
      <c r="B201" s="182">
        <v>12031421</v>
      </c>
      <c r="C201" s="170"/>
      <c r="D201" s="201" t="s">
        <v>235</v>
      </c>
      <c r="E201" s="201">
        <v>90292011</v>
      </c>
      <c r="F201" s="170">
        <v>3817296</v>
      </c>
      <c r="G201" s="172" t="s">
        <v>239</v>
      </c>
      <c r="H201" s="193" t="s">
        <v>20</v>
      </c>
      <c r="I201" s="40" t="s">
        <v>21</v>
      </c>
      <c r="J201" s="174" t="s">
        <v>90</v>
      </c>
      <c r="K201" s="170" t="s">
        <v>23</v>
      </c>
      <c r="L201" s="175">
        <v>46175</v>
      </c>
      <c r="M201" s="176">
        <f>IF(K201="12 meses",L201+364,IF(K201="24 meses",L201+730,IF(K201="36 meses",L201+1096)))</f>
        <v>46905</v>
      </c>
      <c r="N201" s="57" t="str">
        <f t="shared" ca="1" si="8"/>
        <v>Em Uso</v>
      </c>
      <c r="O201" s="363"/>
      <c r="P201" s="179"/>
    </row>
    <row r="202" spans="1:17" ht="13" x14ac:dyDescent="0.3">
      <c r="A202" s="7">
        <v>195</v>
      </c>
      <c r="B202" s="40">
        <v>12014361</v>
      </c>
      <c r="C202" s="7"/>
      <c r="D202" s="62">
        <v>6435</v>
      </c>
      <c r="E202" s="62">
        <v>90251990</v>
      </c>
      <c r="F202" s="7">
        <v>160478</v>
      </c>
      <c r="G202" s="29" t="s">
        <v>243</v>
      </c>
      <c r="H202" s="111" t="s">
        <v>26</v>
      </c>
      <c r="I202" s="40" t="s">
        <v>21</v>
      </c>
      <c r="J202" s="25" t="s">
        <v>128</v>
      </c>
      <c r="K202" s="7" t="s">
        <v>23</v>
      </c>
      <c r="L202" s="147">
        <v>44928</v>
      </c>
      <c r="M202" s="141">
        <f>IF(K202="12 meses",L202+367,IF(K202="24 meses",L202+730,IF(K202="36 meses",L202+1096)))</f>
        <v>45658</v>
      </c>
      <c r="N202" s="24" t="str">
        <f t="shared" ca="1" si="8"/>
        <v>Vencido</v>
      </c>
      <c r="O202" s="357" t="s">
        <v>98</v>
      </c>
      <c r="P202" s="94"/>
      <c r="Q202" s="2" t="s">
        <v>244</v>
      </c>
    </row>
    <row r="203" spans="1:17" s="2" customFormat="1" ht="13" x14ac:dyDescent="0.3">
      <c r="A203" s="7">
        <v>194</v>
      </c>
      <c r="B203" s="40">
        <v>12014363</v>
      </c>
      <c r="C203" s="7"/>
      <c r="D203" s="62">
        <v>6435</v>
      </c>
      <c r="E203" s="62">
        <v>90251990</v>
      </c>
      <c r="F203" s="7">
        <v>160480</v>
      </c>
      <c r="G203" s="29" t="s">
        <v>243</v>
      </c>
      <c r="H203" s="116" t="s">
        <v>29</v>
      </c>
      <c r="I203" s="40" t="s">
        <v>21</v>
      </c>
      <c r="J203" s="25" t="s">
        <v>128</v>
      </c>
      <c r="K203" s="7" t="s">
        <v>23</v>
      </c>
      <c r="L203" s="140">
        <v>46227</v>
      </c>
      <c r="M203" s="141">
        <f>IF(K203="12 meses",L203+365,IF(K203="24 meses",L203+730,IF(K203="36 meses",L203+1095)))</f>
        <v>46957</v>
      </c>
      <c r="N203" s="57" t="str">
        <f t="shared" ca="1" si="8"/>
        <v>Em Uso</v>
      </c>
      <c r="O203" s="354" t="s">
        <v>85</v>
      </c>
      <c r="P203" s="94"/>
    </row>
    <row r="204" spans="1:17" s="2" customFormat="1" ht="13" x14ac:dyDescent="0.3">
      <c r="A204" s="7">
        <v>196</v>
      </c>
      <c r="B204" s="40">
        <v>12014364</v>
      </c>
      <c r="C204" s="7"/>
      <c r="D204" s="62">
        <v>6435</v>
      </c>
      <c r="E204" s="62">
        <v>90251990</v>
      </c>
      <c r="F204" s="7">
        <v>160481</v>
      </c>
      <c r="G204" s="29" t="s">
        <v>243</v>
      </c>
      <c r="H204" s="112" t="s">
        <v>30</v>
      </c>
      <c r="I204" s="40" t="s">
        <v>21</v>
      </c>
      <c r="J204" s="25" t="s">
        <v>128</v>
      </c>
      <c r="K204" s="7" t="s">
        <v>23</v>
      </c>
      <c r="L204" s="147">
        <v>45839</v>
      </c>
      <c r="M204" s="141">
        <f>IF(K204="12 meses",L204+365,IF(K204="24 meses",L204+731,IF(K204="36 meses",L204+1095)))</f>
        <v>46570</v>
      </c>
      <c r="N204" s="24" t="str">
        <f t="shared" ca="1" si="8"/>
        <v>Em Uso</v>
      </c>
      <c r="O204" s="186"/>
      <c r="P204" s="94"/>
    </row>
    <row r="205" spans="1:17" s="2" customFormat="1" ht="13.5" thickBot="1" x14ac:dyDescent="0.35">
      <c r="A205" s="7">
        <v>197</v>
      </c>
      <c r="B205" s="159">
        <v>12031424</v>
      </c>
      <c r="C205" s="7"/>
      <c r="D205" s="62" t="s">
        <v>245</v>
      </c>
      <c r="E205" s="62">
        <v>90251990</v>
      </c>
      <c r="F205" s="7">
        <v>3845183</v>
      </c>
      <c r="G205" s="29" t="s">
        <v>243</v>
      </c>
      <c r="H205" s="193" t="s">
        <v>20</v>
      </c>
      <c r="I205" s="40"/>
      <c r="J205" s="25" t="s">
        <v>128</v>
      </c>
      <c r="K205" s="7" t="s">
        <v>23</v>
      </c>
      <c r="L205" s="147">
        <v>45457</v>
      </c>
      <c r="M205" s="141">
        <f>IF(K205="12 meses",L205+365,IF(K205="24 meses",L205+731,IF(K205="36 meses",L205+1095)))</f>
        <v>46188</v>
      </c>
      <c r="N205" s="24" t="str">
        <f t="shared" ca="1" si="8"/>
        <v>Vencido</v>
      </c>
      <c r="O205" s="194"/>
      <c r="P205" s="94"/>
    </row>
    <row r="206" spans="1:17" s="180" customFormat="1" ht="13.5" thickBot="1" x14ac:dyDescent="0.35">
      <c r="A206" s="7">
        <v>198</v>
      </c>
      <c r="B206" s="182">
        <v>12031423</v>
      </c>
      <c r="C206" s="170"/>
      <c r="D206" s="201" t="s">
        <v>245</v>
      </c>
      <c r="E206" s="201">
        <v>90251990</v>
      </c>
      <c r="F206" s="170">
        <v>3845174</v>
      </c>
      <c r="G206" s="189" t="s">
        <v>243</v>
      </c>
      <c r="H206" s="190" t="s">
        <v>28</v>
      </c>
      <c r="I206" s="171"/>
      <c r="J206" s="174" t="s">
        <v>128</v>
      </c>
      <c r="K206" s="170" t="s">
        <v>23</v>
      </c>
      <c r="L206" s="202">
        <v>46227</v>
      </c>
      <c r="M206" s="176">
        <f>IF(K206="12 meses",L206+365,IF(K206="24 meses",L206+731,IF(K206="36 meses",L206+1095)))</f>
        <v>46958</v>
      </c>
      <c r="N206" s="24" t="str">
        <f t="shared" ca="1" si="8"/>
        <v>Em Uso</v>
      </c>
      <c r="O206" s="354" t="s">
        <v>85</v>
      </c>
      <c r="P206" s="184"/>
    </row>
    <row r="207" spans="1:17" s="2" customFormat="1" ht="13" x14ac:dyDescent="0.3">
      <c r="A207" s="7">
        <v>203</v>
      </c>
      <c r="B207" s="91">
        <v>12014337</v>
      </c>
      <c r="C207" s="18">
        <v>59133</v>
      </c>
      <c r="D207" s="27" t="s">
        <v>246</v>
      </c>
      <c r="E207" s="27">
        <v>90262090</v>
      </c>
      <c r="F207" s="18">
        <v>314532</v>
      </c>
      <c r="G207" s="27" t="s">
        <v>247</v>
      </c>
      <c r="H207" s="105" t="s">
        <v>29</v>
      </c>
      <c r="I207" s="91" t="s">
        <v>21</v>
      </c>
      <c r="J207" s="18" t="s">
        <v>83</v>
      </c>
      <c r="K207" s="18" t="s">
        <v>23</v>
      </c>
      <c r="L207" s="143">
        <v>45688</v>
      </c>
      <c r="M207" s="144">
        <f>IF(K207="12 meses",L207+364,IF(K187="24 meses",L207+731,IF(K187="36 meses",L207+1095)))</f>
        <v>46419</v>
      </c>
      <c r="N207" s="57" t="str">
        <f t="shared" ref="N207:N211" ca="1" si="9">IF((TODAY())&gt;M207,"Vencido",IF(M207-(TODAY())&lt;=30,"Sol. Cal. Urgen.",IF(M207-(TODAY())&lt;=120,"Sol. Cal.",IF(M207&gt;(TODAY())+120,"Em Uso"))))</f>
        <v>Em Uso</v>
      </c>
      <c r="O207" s="349"/>
      <c r="P207" s="94"/>
    </row>
    <row r="208" spans="1:17" s="2" customFormat="1" ht="13" x14ac:dyDescent="0.3">
      <c r="A208" s="7">
        <v>204</v>
      </c>
      <c r="B208" s="40">
        <v>12014365</v>
      </c>
      <c r="C208" s="7"/>
      <c r="D208" s="26" t="s">
        <v>246</v>
      </c>
      <c r="E208" s="26">
        <v>90262090</v>
      </c>
      <c r="F208" s="7">
        <v>371237</v>
      </c>
      <c r="G208" s="26" t="s">
        <v>247</v>
      </c>
      <c r="H208" s="158" t="s">
        <v>20</v>
      </c>
      <c r="I208" s="40" t="s">
        <v>21</v>
      </c>
      <c r="J208" s="7" t="s">
        <v>83</v>
      </c>
      <c r="K208" s="7" t="s">
        <v>23</v>
      </c>
      <c r="L208" s="140">
        <v>45859</v>
      </c>
      <c r="M208" s="141">
        <f>IF(K208="12 meses",L208+365,IF(K208="24 meses",L208+731,IF(K208="36 meses",L208+1095)))</f>
        <v>46590</v>
      </c>
      <c r="N208" s="57" t="str">
        <f t="shared" ca="1" si="9"/>
        <v>Em Uso</v>
      </c>
      <c r="O208" s="348"/>
      <c r="P208" s="94"/>
    </row>
    <row r="209" spans="1:16" s="2" customFormat="1" ht="13" x14ac:dyDescent="0.3">
      <c r="A209" s="7">
        <v>205</v>
      </c>
      <c r="B209" s="40">
        <v>12018802</v>
      </c>
      <c r="C209" s="7"/>
      <c r="D209" s="26" t="s">
        <v>246</v>
      </c>
      <c r="E209" s="26">
        <v>90262090</v>
      </c>
      <c r="F209" s="7">
        <v>495517</v>
      </c>
      <c r="G209" s="26" t="s">
        <v>247</v>
      </c>
      <c r="H209" s="111" t="s">
        <v>26</v>
      </c>
      <c r="I209" s="40" t="s">
        <v>21</v>
      </c>
      <c r="J209" s="7" t="s">
        <v>83</v>
      </c>
      <c r="K209" s="7" t="s">
        <v>23</v>
      </c>
      <c r="L209" s="140">
        <v>46122</v>
      </c>
      <c r="M209" s="141">
        <f>IF(K209="12 meses",L209+365,IF(K209="24 meses",L209+731,IF(K209="36 meses",L209+1095)))</f>
        <v>46853</v>
      </c>
      <c r="N209" s="24" t="str">
        <f t="shared" ca="1" si="9"/>
        <v>Em Uso</v>
      </c>
      <c r="O209" s="165" t="s">
        <v>27</v>
      </c>
      <c r="P209" s="94"/>
    </row>
    <row r="210" spans="1:16" s="2" customFormat="1" ht="13" x14ac:dyDescent="0.3">
      <c r="A210" s="7">
        <v>206</v>
      </c>
      <c r="B210" s="40">
        <v>12035248</v>
      </c>
      <c r="C210" s="7"/>
      <c r="D210" s="26" t="s">
        <v>246</v>
      </c>
      <c r="E210" s="26">
        <v>90262090</v>
      </c>
      <c r="F210" s="7">
        <v>461934</v>
      </c>
      <c r="G210" s="26" t="s">
        <v>247</v>
      </c>
      <c r="H210" s="161" t="s">
        <v>28</v>
      </c>
      <c r="I210" s="40" t="s">
        <v>21</v>
      </c>
      <c r="J210" s="7" t="s">
        <v>83</v>
      </c>
      <c r="K210" s="7" t="s">
        <v>23</v>
      </c>
      <c r="L210" s="140">
        <v>45918</v>
      </c>
      <c r="M210" s="141">
        <f>IF(K210="12 meses",L210+365,IF(K210="24 meses",L210+731,IF(K210="36 meses",L210+1095)))</f>
        <v>46649</v>
      </c>
      <c r="N210" s="24" t="str">
        <f t="shared" ca="1" si="9"/>
        <v>Em Uso</v>
      </c>
      <c r="O210" s="165"/>
      <c r="P210" s="94"/>
    </row>
    <row r="211" spans="1:16" s="180" customFormat="1" ht="13.5" thickBot="1" x14ac:dyDescent="0.35">
      <c r="A211" s="7">
        <v>207</v>
      </c>
      <c r="B211" s="171">
        <v>12015982</v>
      </c>
      <c r="C211" s="170">
        <v>61806</v>
      </c>
      <c r="D211" s="172" t="s">
        <v>246</v>
      </c>
      <c r="E211" s="172">
        <v>90262090</v>
      </c>
      <c r="F211" s="170">
        <v>424479</v>
      </c>
      <c r="G211" s="172" t="s">
        <v>247</v>
      </c>
      <c r="H211" s="173" t="s">
        <v>30</v>
      </c>
      <c r="I211" s="171" t="s">
        <v>21</v>
      </c>
      <c r="J211" s="170" t="s">
        <v>83</v>
      </c>
      <c r="K211" s="170" t="s">
        <v>23</v>
      </c>
      <c r="L211" s="175">
        <v>45909</v>
      </c>
      <c r="M211" s="176">
        <f>IF(K211="12 meses",L211+365,IF(K211="24 meses",L211+731,IF(K211="36 meses",L211+1095)))</f>
        <v>46640</v>
      </c>
      <c r="N211" s="24" t="str">
        <f t="shared" ca="1" si="9"/>
        <v>Em Uso</v>
      </c>
      <c r="O211" s="279"/>
    </row>
    <row r="212" spans="1:16" s="2" customFormat="1" ht="13" x14ac:dyDescent="0.3">
      <c r="A212" s="7">
        <v>208</v>
      </c>
      <c r="B212" s="91">
        <v>12014961</v>
      </c>
      <c r="C212" s="18">
        <v>59138</v>
      </c>
      <c r="D212" s="27" t="s">
        <v>248</v>
      </c>
      <c r="E212" s="27">
        <v>90262090</v>
      </c>
      <c r="F212" s="18">
        <v>14783</v>
      </c>
      <c r="G212" s="27" t="s">
        <v>249</v>
      </c>
      <c r="H212" s="105" t="s">
        <v>29</v>
      </c>
      <c r="I212" s="91" t="s">
        <v>21</v>
      </c>
      <c r="J212" s="18"/>
      <c r="K212" s="18"/>
      <c r="L212" s="143"/>
      <c r="M212" s="144"/>
      <c r="N212" s="58"/>
      <c r="O212" s="363"/>
    </row>
    <row r="213" spans="1:16" s="2" customFormat="1" ht="13.5" thickBot="1" x14ac:dyDescent="0.35">
      <c r="A213" s="7">
        <v>209</v>
      </c>
      <c r="B213" s="40">
        <v>12014963</v>
      </c>
      <c r="C213" s="7"/>
      <c r="D213" s="35" t="s">
        <v>248</v>
      </c>
      <c r="E213" s="35">
        <v>90262090</v>
      </c>
      <c r="F213" s="36">
        <v>551244</v>
      </c>
      <c r="G213" s="33" t="s">
        <v>250</v>
      </c>
      <c r="H213" s="158" t="s">
        <v>20</v>
      </c>
      <c r="I213" s="40" t="s">
        <v>21</v>
      </c>
      <c r="J213" s="25"/>
      <c r="K213" s="7"/>
      <c r="L213" s="140"/>
      <c r="M213" s="141"/>
      <c r="N213" s="57"/>
      <c r="O213" s="350"/>
    </row>
    <row r="214" spans="1:16" s="2" customFormat="1" ht="13" x14ac:dyDescent="0.3">
      <c r="A214" s="7">
        <v>210</v>
      </c>
      <c r="B214" s="40">
        <v>12018803</v>
      </c>
      <c r="C214" s="7">
        <v>201267</v>
      </c>
      <c r="D214" s="35" t="s">
        <v>248</v>
      </c>
      <c r="E214" s="26">
        <v>90262090</v>
      </c>
      <c r="F214" s="36">
        <v>28828</v>
      </c>
      <c r="G214" s="29" t="s">
        <v>249</v>
      </c>
      <c r="H214" s="111" t="s">
        <v>26</v>
      </c>
      <c r="I214" s="40" t="s">
        <v>21</v>
      </c>
      <c r="J214" s="25"/>
      <c r="K214" s="7"/>
      <c r="L214" s="140"/>
      <c r="M214" s="141"/>
      <c r="N214" s="24"/>
      <c r="O214" s="165" t="s">
        <v>27</v>
      </c>
    </row>
    <row r="215" spans="1:16" s="2" customFormat="1" ht="13" x14ac:dyDescent="0.3">
      <c r="A215" s="7">
        <v>211</v>
      </c>
      <c r="B215" s="122">
        <v>12015983</v>
      </c>
      <c r="C215" s="100">
        <v>61806</v>
      </c>
      <c r="D215" s="101" t="s">
        <v>248</v>
      </c>
      <c r="E215" s="101">
        <v>90262090</v>
      </c>
      <c r="F215" s="100">
        <v>5009</v>
      </c>
      <c r="G215" s="101" t="s">
        <v>249</v>
      </c>
      <c r="H215" s="225" t="s">
        <v>30</v>
      </c>
      <c r="I215" s="122" t="s">
        <v>21</v>
      </c>
      <c r="J215" s="226"/>
      <c r="K215" s="226"/>
      <c r="L215" s="216"/>
      <c r="M215" s="217"/>
      <c r="N215" s="218"/>
      <c r="O215" s="165"/>
    </row>
    <row r="216" spans="1:16" s="180" customFormat="1" ht="14.15" customHeight="1" thickBot="1" x14ac:dyDescent="0.35">
      <c r="A216" s="7">
        <v>212</v>
      </c>
      <c r="B216" s="121">
        <v>12035249</v>
      </c>
      <c r="C216" s="118"/>
      <c r="D216" s="219" t="s">
        <v>248</v>
      </c>
      <c r="E216" s="219">
        <v>90262090</v>
      </c>
      <c r="F216" s="220">
        <v>691539</v>
      </c>
      <c r="G216" s="221" t="s">
        <v>250</v>
      </c>
      <c r="H216" s="215" t="s">
        <v>28</v>
      </c>
      <c r="I216" s="121" t="s">
        <v>21</v>
      </c>
      <c r="J216" s="119"/>
      <c r="K216" s="118"/>
      <c r="L216" s="222"/>
      <c r="M216" s="223"/>
      <c r="N216" s="224"/>
      <c r="O216" s="165"/>
      <c r="P216" s="199"/>
    </row>
    <row r="217" spans="1:16" s="2" customFormat="1" ht="14.15" customHeight="1" thickBot="1" x14ac:dyDescent="0.35">
      <c r="A217" s="7">
        <v>213</v>
      </c>
      <c r="B217" s="228">
        <v>12035254</v>
      </c>
      <c r="C217" s="229">
        <v>202068</v>
      </c>
      <c r="D217" s="230" t="s">
        <v>251</v>
      </c>
      <c r="E217" s="230">
        <v>90249000</v>
      </c>
      <c r="F217" s="231" t="s">
        <v>252</v>
      </c>
      <c r="G217" s="232" t="s">
        <v>253</v>
      </c>
      <c r="H217" s="233" t="s">
        <v>28</v>
      </c>
      <c r="I217" s="228" t="s">
        <v>21</v>
      </c>
      <c r="J217" s="234"/>
      <c r="K217" s="229"/>
      <c r="L217" s="235"/>
      <c r="M217" s="236"/>
      <c r="N217" s="237"/>
      <c r="O217" s="238"/>
      <c r="P217" s="95"/>
    </row>
    <row r="218" spans="1:16" s="2" customFormat="1" ht="13" x14ac:dyDescent="0.3">
      <c r="A218" s="5"/>
      <c r="B218" s="5"/>
      <c r="C218" s="5"/>
      <c r="D218" s="72"/>
      <c r="E218" s="72"/>
      <c r="F218" s="5"/>
      <c r="L218" s="152"/>
      <c r="N218" s="5"/>
      <c r="O218" s="133" t="s">
        <v>244</v>
      </c>
    </row>
    <row r="219" spans="1:16" s="2" customFormat="1" ht="12.75" customHeight="1" x14ac:dyDescent="0.3">
      <c r="A219" s="5"/>
      <c r="B219" s="5"/>
      <c r="C219" s="107"/>
      <c r="D219" s="107"/>
      <c r="E219" s="68"/>
      <c r="F219" s="37"/>
      <c r="G219" s="12" t="s">
        <v>254</v>
      </c>
      <c r="H219" s="20"/>
      <c r="I219" s="20"/>
      <c r="L219" s="152" t="s">
        <v>244</v>
      </c>
      <c r="N219" s="5"/>
      <c r="O219" s="134" t="s">
        <v>244</v>
      </c>
    </row>
    <row r="220" spans="1:16" s="6" customFormat="1" ht="15.75" customHeight="1" x14ac:dyDescent="0.3">
      <c r="A220" s="85"/>
      <c r="B220" s="85"/>
      <c r="C220" s="108"/>
      <c r="D220" s="108"/>
      <c r="E220" s="69"/>
      <c r="F220" s="39"/>
      <c r="G220" s="12" t="s">
        <v>255</v>
      </c>
      <c r="H220" s="20"/>
      <c r="I220" s="21"/>
      <c r="L220" s="153" t="s">
        <v>244</v>
      </c>
      <c r="M220" s="72"/>
      <c r="N220" s="85"/>
    </row>
    <row r="221" spans="1:16" s="2" customFormat="1" ht="15" customHeight="1" x14ac:dyDescent="0.3">
      <c r="A221" s="5"/>
      <c r="B221" s="5"/>
      <c r="C221" s="109"/>
      <c r="D221" s="109"/>
      <c r="E221" s="70"/>
      <c r="F221" s="38"/>
      <c r="G221" s="13" t="s">
        <v>256</v>
      </c>
      <c r="H221" s="22"/>
      <c r="I221" s="22"/>
      <c r="L221" s="152" t="s">
        <v>244</v>
      </c>
      <c r="N221" s="5"/>
      <c r="O221" s="133" t="s">
        <v>244</v>
      </c>
    </row>
    <row r="222" spans="1:16" s="2" customFormat="1" ht="13" x14ac:dyDescent="0.3">
      <c r="A222" s="5"/>
      <c r="B222" s="5"/>
      <c r="C222" s="5"/>
      <c r="D222" s="5"/>
      <c r="E222" s="5"/>
      <c r="F222" s="5"/>
      <c r="L222" s="152"/>
      <c r="N222" s="5"/>
      <c r="O222" s="133"/>
    </row>
    <row r="223" spans="1:16" s="2" customFormat="1" ht="17.5" x14ac:dyDescent="0.35">
      <c r="A223" s="102" t="s">
        <v>257</v>
      </c>
      <c r="B223" s="5"/>
      <c r="C223" s="5"/>
      <c r="D223" s="5"/>
      <c r="E223" s="5"/>
      <c r="F223" s="5"/>
      <c r="L223" s="152"/>
      <c r="N223" s="5"/>
      <c r="O223" s="133"/>
    </row>
    <row r="224" spans="1:16" s="2" customFormat="1" ht="13" x14ac:dyDescent="0.3">
      <c r="A224" s="7">
        <v>65</v>
      </c>
      <c r="B224" s="89">
        <v>12014276</v>
      </c>
      <c r="C224" s="7">
        <v>59069</v>
      </c>
      <c r="D224" s="26" t="s">
        <v>258</v>
      </c>
      <c r="E224" s="35" t="s">
        <v>135</v>
      </c>
      <c r="F224" s="7" t="s">
        <v>259</v>
      </c>
      <c r="G224" s="33" t="s">
        <v>260</v>
      </c>
      <c r="H224" s="40" t="s">
        <v>131</v>
      </c>
      <c r="I224" s="40" t="s">
        <v>21</v>
      </c>
      <c r="J224" s="34" t="s">
        <v>90</v>
      </c>
      <c r="K224" s="7" t="s">
        <v>23</v>
      </c>
      <c r="L224" s="140">
        <v>43158</v>
      </c>
      <c r="M224" s="32">
        <f>IF(K224="12 meses",L224+366,IF(K224="24 meses",L224+730,IF(K224="36 meses",L224+1096)))</f>
        <v>43888</v>
      </c>
      <c r="N224" s="23" t="str">
        <f t="shared" ref="N224:N229" ca="1" si="10">IF((TODAY())&gt;M224,"Vencido",IF(M224-(TODAY())&lt;=120,"Sol. Cal.",IF(M224&gt;(TODAY())+120,"Em Uso")))</f>
        <v>Vencido</v>
      </c>
      <c r="O224" s="132" t="s">
        <v>261</v>
      </c>
    </row>
    <row r="225" spans="1:16" s="2" customFormat="1" ht="13" x14ac:dyDescent="0.3">
      <c r="A225" s="7">
        <v>67</v>
      </c>
      <c r="B225" s="88">
        <v>12014277</v>
      </c>
      <c r="C225" s="15">
        <v>59070</v>
      </c>
      <c r="D225" s="26" t="s">
        <v>258</v>
      </c>
      <c r="E225" s="35" t="s">
        <v>135</v>
      </c>
      <c r="F225" s="15">
        <v>92321</v>
      </c>
      <c r="G225" s="33" t="s">
        <v>260</v>
      </c>
      <c r="H225" s="40" t="s">
        <v>131</v>
      </c>
      <c r="I225" s="43" t="s">
        <v>262</v>
      </c>
      <c r="J225" s="34" t="s">
        <v>90</v>
      </c>
      <c r="K225" s="7" t="s">
        <v>23</v>
      </c>
      <c r="L225" s="147">
        <v>43158</v>
      </c>
      <c r="M225" s="28">
        <f>L225+730</f>
        <v>43888</v>
      </c>
      <c r="N225" s="23" t="str">
        <f t="shared" ca="1" si="10"/>
        <v>Vencido</v>
      </c>
      <c r="O225" s="132" t="s">
        <v>261</v>
      </c>
    </row>
    <row r="226" spans="1:16" s="2" customFormat="1" ht="13" x14ac:dyDescent="0.3">
      <c r="A226" s="7">
        <v>39</v>
      </c>
      <c r="B226" s="88">
        <v>12014267</v>
      </c>
      <c r="C226" s="7">
        <v>59059</v>
      </c>
      <c r="D226" s="26" t="s">
        <v>263</v>
      </c>
      <c r="E226" s="26">
        <v>90318060</v>
      </c>
      <c r="F226" s="7" t="s">
        <v>264</v>
      </c>
      <c r="G226" s="29" t="s">
        <v>265</v>
      </c>
      <c r="H226" s="40" t="s">
        <v>35</v>
      </c>
      <c r="I226" s="40" t="s">
        <v>21</v>
      </c>
      <c r="J226" s="34" t="s">
        <v>90</v>
      </c>
      <c r="K226" s="7" t="s">
        <v>23</v>
      </c>
      <c r="L226" s="140">
        <v>42426</v>
      </c>
      <c r="M226" s="32">
        <f>IF(K226="12 meses",L226+731,IF(K226="24 meses",L226+731,IF(K226="36 meses",L226+1095)))</f>
        <v>43157</v>
      </c>
      <c r="N226" s="23" t="str">
        <f t="shared" ca="1" si="10"/>
        <v>Vencido</v>
      </c>
      <c r="O226" s="132" t="s">
        <v>266</v>
      </c>
      <c r="P226" s="94"/>
    </row>
    <row r="227" spans="1:16" s="2" customFormat="1" ht="13" x14ac:dyDescent="0.3">
      <c r="A227" s="7">
        <v>49</v>
      </c>
      <c r="B227" s="89">
        <v>12014270</v>
      </c>
      <c r="C227" s="7">
        <v>59063</v>
      </c>
      <c r="D227" s="26" t="s">
        <v>263</v>
      </c>
      <c r="E227" s="26">
        <v>90318060</v>
      </c>
      <c r="F227" s="7" t="s">
        <v>267</v>
      </c>
      <c r="G227" s="29" t="s">
        <v>268</v>
      </c>
      <c r="H227" s="40" t="s">
        <v>131</v>
      </c>
      <c r="I227" s="42" t="s">
        <v>262</v>
      </c>
      <c r="J227" s="34" t="s">
        <v>90</v>
      </c>
      <c r="K227" s="7" t="s">
        <v>23</v>
      </c>
      <c r="L227" s="147">
        <v>43158</v>
      </c>
      <c r="M227" s="28">
        <f>L227+730</f>
        <v>43888</v>
      </c>
      <c r="N227" s="23" t="str">
        <f t="shared" ca="1" si="10"/>
        <v>Vencido</v>
      </c>
      <c r="O227" s="132" t="s">
        <v>266</v>
      </c>
      <c r="P227" s="94"/>
    </row>
    <row r="228" spans="1:16" s="2" customFormat="1" ht="13" x14ac:dyDescent="0.3">
      <c r="A228" s="7">
        <v>57</v>
      </c>
      <c r="B228" s="40" t="s">
        <v>269</v>
      </c>
      <c r="C228" s="7"/>
      <c r="D228" s="26" t="s">
        <v>107</v>
      </c>
      <c r="E228" s="26">
        <v>90318060</v>
      </c>
      <c r="F228" s="7">
        <v>785906</v>
      </c>
      <c r="G228" s="29" t="s">
        <v>124</v>
      </c>
      <c r="H228" s="104" t="s">
        <v>270</v>
      </c>
      <c r="I228" s="42" t="s">
        <v>262</v>
      </c>
      <c r="J228" s="25" t="s">
        <v>271</v>
      </c>
      <c r="K228" s="7" t="s">
        <v>23</v>
      </c>
      <c r="L228" s="140">
        <v>43158</v>
      </c>
      <c r="M228" s="32">
        <f>IF(K228="12 meses",L228+365,IF(K228="24 meses",L228+730,IF(K228="36 meses",L228+1095)))</f>
        <v>43888</v>
      </c>
      <c r="N228" s="99" t="str">
        <f t="shared" ca="1" si="10"/>
        <v>Vencido</v>
      </c>
      <c r="O228" s="132" t="s">
        <v>266</v>
      </c>
    </row>
    <row r="229" spans="1:16" s="2" customFormat="1" ht="13" x14ac:dyDescent="0.3">
      <c r="A229" s="7">
        <v>49</v>
      </c>
      <c r="B229" s="88">
        <v>12014237</v>
      </c>
      <c r="C229" s="7">
        <v>59149</v>
      </c>
      <c r="D229" s="26" t="s">
        <v>107</v>
      </c>
      <c r="E229" s="26">
        <v>90318060</v>
      </c>
      <c r="F229" s="7">
        <v>696546</v>
      </c>
      <c r="G229" s="29" t="s">
        <v>124</v>
      </c>
      <c r="H229" s="103" t="s">
        <v>20</v>
      </c>
      <c r="I229" s="42" t="s">
        <v>262</v>
      </c>
      <c r="J229" s="25" t="s">
        <v>271</v>
      </c>
      <c r="K229" s="7" t="s">
        <v>23</v>
      </c>
      <c r="L229" s="140">
        <v>43446</v>
      </c>
      <c r="M229" s="32">
        <f>IF(K229="12 meses",L229+366,IF(K229="24 meses",L229+729,IF(K229="36 meses",L229+1096)))</f>
        <v>44175</v>
      </c>
      <c r="N229" s="23" t="str">
        <f t="shared" ca="1" si="10"/>
        <v>Vencido</v>
      </c>
      <c r="O229" s="132"/>
      <c r="P229" s="94"/>
    </row>
    <row r="230" spans="1:16" s="2" customFormat="1" ht="13" x14ac:dyDescent="0.3">
      <c r="A230" s="5"/>
      <c r="B230" s="5"/>
      <c r="C230" s="5"/>
      <c r="D230" s="5"/>
      <c r="E230" s="5"/>
      <c r="F230" s="5"/>
      <c r="L230" s="152"/>
      <c r="N230" s="5"/>
      <c r="O230" s="133"/>
    </row>
    <row r="231" spans="1:16" s="2" customFormat="1" ht="13" x14ac:dyDescent="0.3">
      <c r="A231" s="5"/>
      <c r="B231" s="5"/>
      <c r="C231" s="5"/>
      <c r="D231" s="5"/>
      <c r="E231" s="5"/>
      <c r="F231" s="5"/>
      <c r="L231" s="152"/>
      <c r="N231" s="5"/>
      <c r="O231" s="133"/>
    </row>
    <row r="232" spans="1:16" s="2" customFormat="1" ht="17.5" x14ac:dyDescent="0.35">
      <c r="A232" s="82" t="s">
        <v>272</v>
      </c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154"/>
      <c r="M232" s="81"/>
      <c r="N232" s="81"/>
      <c r="O232" s="135"/>
    </row>
    <row r="233" spans="1:16" s="2" customFormat="1" ht="13" x14ac:dyDescent="0.3">
      <c r="A233" s="17">
        <v>1</v>
      </c>
      <c r="B233" s="53"/>
      <c r="C233" s="7"/>
      <c r="D233" s="64" t="s">
        <v>273</v>
      </c>
      <c r="E233" s="64">
        <v>90249000</v>
      </c>
      <c r="F233" s="7">
        <v>889</v>
      </c>
      <c r="G233" s="29" t="s">
        <v>274</v>
      </c>
      <c r="H233" s="29" t="s">
        <v>152</v>
      </c>
      <c r="I233" s="40" t="s">
        <v>21</v>
      </c>
      <c r="J233" s="25" t="s">
        <v>22</v>
      </c>
      <c r="K233" s="7"/>
      <c r="L233" s="147"/>
      <c r="M233" s="28"/>
      <c r="N233" s="57"/>
      <c r="O233" s="136"/>
    </row>
    <row r="234" spans="1:16" s="2" customFormat="1" ht="13" x14ac:dyDescent="0.3">
      <c r="A234" s="44">
        <v>2</v>
      </c>
      <c r="B234" s="54"/>
      <c r="C234" s="7"/>
      <c r="D234" s="64" t="s">
        <v>275</v>
      </c>
      <c r="E234" s="64">
        <v>90249000</v>
      </c>
      <c r="F234" s="7" t="s">
        <v>276</v>
      </c>
      <c r="G234" s="29" t="s">
        <v>277</v>
      </c>
      <c r="H234" s="29" t="s">
        <v>152</v>
      </c>
      <c r="I234" s="40" t="s">
        <v>21</v>
      </c>
      <c r="J234" s="25" t="s">
        <v>22</v>
      </c>
      <c r="K234" s="7"/>
      <c r="L234" s="147"/>
      <c r="M234" s="28"/>
      <c r="N234" s="58"/>
      <c r="O234" s="136"/>
    </row>
    <row r="235" spans="1:16" s="5" customFormat="1" ht="13" x14ac:dyDescent="0.3">
      <c r="A235" s="61">
        <v>3</v>
      </c>
      <c r="B235" s="53"/>
      <c r="C235" s="14">
        <v>59139</v>
      </c>
      <c r="D235" s="64" t="s">
        <v>278</v>
      </c>
      <c r="E235" s="64">
        <v>90249000</v>
      </c>
      <c r="F235" s="16" t="s">
        <v>279</v>
      </c>
      <c r="G235" s="30" t="s">
        <v>280</v>
      </c>
      <c r="H235" s="104" t="s">
        <v>270</v>
      </c>
      <c r="I235" s="65" t="s">
        <v>262</v>
      </c>
      <c r="J235" s="31" t="s">
        <v>22</v>
      </c>
      <c r="K235" s="7"/>
      <c r="L235" s="147"/>
      <c r="M235" s="28"/>
      <c r="N235" s="58"/>
      <c r="O235" s="137"/>
    </row>
    <row r="236" spans="1:16" s="5" customFormat="1" ht="13" x14ac:dyDescent="0.3">
      <c r="A236" s="61">
        <v>4</v>
      </c>
      <c r="B236" s="53"/>
      <c r="C236" s="14"/>
      <c r="D236" s="64" t="s">
        <v>278</v>
      </c>
      <c r="E236" s="64">
        <v>90249000</v>
      </c>
      <c r="F236" s="16" t="s">
        <v>279</v>
      </c>
      <c r="G236" s="30" t="s">
        <v>280</v>
      </c>
      <c r="H236" s="103" t="s">
        <v>20</v>
      </c>
      <c r="I236" s="65" t="s">
        <v>262</v>
      </c>
      <c r="J236" s="31" t="s">
        <v>22</v>
      </c>
      <c r="K236" s="7"/>
      <c r="L236" s="147"/>
      <c r="M236" s="28"/>
      <c r="N236" s="58"/>
      <c r="O236" s="137"/>
    </row>
    <row r="237" spans="1:16" s="5" customFormat="1" ht="13" x14ac:dyDescent="0.3">
      <c r="A237" s="61">
        <v>5</v>
      </c>
      <c r="B237" s="53"/>
      <c r="C237" s="14">
        <v>543</v>
      </c>
      <c r="D237" s="64" t="s">
        <v>278</v>
      </c>
      <c r="E237" s="64">
        <v>90249000</v>
      </c>
      <c r="F237" s="16">
        <v>7297</v>
      </c>
      <c r="G237" s="30" t="s">
        <v>281</v>
      </c>
      <c r="H237" s="105" t="s">
        <v>29</v>
      </c>
      <c r="I237" s="40" t="s">
        <v>21</v>
      </c>
      <c r="J237" s="31" t="s">
        <v>22</v>
      </c>
      <c r="K237" s="7"/>
      <c r="L237" s="147"/>
      <c r="M237" s="28"/>
      <c r="N237" s="58"/>
      <c r="O237" s="137"/>
    </row>
    <row r="238" spans="1:16" s="2" customFormat="1" ht="13" x14ac:dyDescent="0.3">
      <c r="A238" s="5"/>
      <c r="B238" s="5"/>
      <c r="C238" s="5"/>
      <c r="D238" s="5"/>
      <c r="E238" s="5"/>
      <c r="F238" s="5"/>
      <c r="L238" s="152"/>
      <c r="N238" s="5"/>
      <c r="O238" s="133"/>
    </row>
    <row r="239" spans="1:16" s="2" customFormat="1" ht="13" x14ac:dyDescent="0.3">
      <c r="A239" s="5"/>
      <c r="B239" s="5"/>
      <c r="C239" s="5"/>
      <c r="D239" s="5"/>
      <c r="E239" s="5"/>
      <c r="F239" s="5"/>
      <c r="L239" s="152"/>
      <c r="N239" s="5"/>
      <c r="O239" s="133"/>
    </row>
    <row r="240" spans="1:16" s="2" customFormat="1" ht="13" x14ac:dyDescent="0.3">
      <c r="A240" s="5"/>
      <c r="B240" s="5"/>
      <c r="C240" s="5"/>
      <c r="D240" s="5"/>
      <c r="E240" s="5"/>
      <c r="F240" s="5"/>
      <c r="L240" s="152"/>
      <c r="N240" s="5"/>
      <c r="O240" s="133"/>
    </row>
    <row r="241" spans="1:16" s="2" customFormat="1" ht="13" x14ac:dyDescent="0.3">
      <c r="A241" s="5"/>
      <c r="B241" s="5"/>
      <c r="C241" s="5"/>
      <c r="D241" s="5"/>
      <c r="E241" s="5"/>
      <c r="F241" s="5"/>
      <c r="L241" s="152"/>
      <c r="N241" s="5"/>
      <c r="O241" s="133"/>
    </row>
    <row r="242" spans="1:16" s="2" customFormat="1" ht="13" x14ac:dyDescent="0.3">
      <c r="A242" s="5"/>
      <c r="B242" s="5"/>
      <c r="C242" s="5"/>
      <c r="D242" s="5"/>
      <c r="E242" s="5"/>
      <c r="F242" s="5"/>
      <c r="L242" s="152"/>
      <c r="N242" s="5"/>
      <c r="O242" s="133"/>
    </row>
    <row r="243" spans="1:16" s="2" customFormat="1" ht="13" x14ac:dyDescent="0.3">
      <c r="A243" s="5"/>
      <c r="B243" s="5"/>
      <c r="C243" s="5"/>
      <c r="D243" s="5"/>
      <c r="E243" s="5"/>
      <c r="F243" s="5"/>
      <c r="L243" s="152"/>
      <c r="N243" s="5"/>
      <c r="O243" s="133"/>
    </row>
    <row r="244" spans="1:16" s="2" customFormat="1" ht="13" x14ac:dyDescent="0.3">
      <c r="A244" s="5"/>
      <c r="B244" s="5"/>
      <c r="C244" s="5"/>
      <c r="D244" s="5"/>
      <c r="E244" s="5"/>
      <c r="F244" s="5"/>
      <c r="L244" s="152"/>
      <c r="N244" s="5"/>
      <c r="O244" s="133"/>
    </row>
    <row r="245" spans="1:16" s="2" customFormat="1" ht="17.5" x14ac:dyDescent="0.35">
      <c r="A245" s="82" t="s">
        <v>282</v>
      </c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154"/>
      <c r="M245" s="81"/>
      <c r="N245" s="81"/>
      <c r="O245" s="135"/>
    </row>
    <row r="246" spans="1:16" s="2" customFormat="1" ht="13" x14ac:dyDescent="0.3">
      <c r="A246" s="47" t="s">
        <v>3</v>
      </c>
      <c r="B246" s="47" t="s">
        <v>4</v>
      </c>
      <c r="C246" s="49" t="s">
        <v>5</v>
      </c>
      <c r="D246" s="51" t="s">
        <v>6</v>
      </c>
      <c r="E246" s="52" t="s">
        <v>7</v>
      </c>
      <c r="F246" s="50" t="s">
        <v>8</v>
      </c>
      <c r="G246" s="51" t="s">
        <v>9</v>
      </c>
      <c r="H246" s="52" t="s">
        <v>10</v>
      </c>
      <c r="I246" s="52" t="s">
        <v>11</v>
      </c>
      <c r="J246" s="77" t="s">
        <v>12</v>
      </c>
      <c r="K246" s="52" t="s">
        <v>13</v>
      </c>
      <c r="L246" s="151" t="s">
        <v>14</v>
      </c>
      <c r="M246" s="52" t="s">
        <v>15</v>
      </c>
      <c r="N246" s="52" t="s">
        <v>16</v>
      </c>
      <c r="O246" s="131" t="s">
        <v>17</v>
      </c>
    </row>
    <row r="247" spans="1:16" s="2" customFormat="1" ht="13" x14ac:dyDescent="0.3">
      <c r="A247" s="44">
        <v>1</v>
      </c>
      <c r="B247" s="7"/>
      <c r="C247" s="15">
        <v>501</v>
      </c>
      <c r="D247" s="33"/>
      <c r="E247" s="73"/>
      <c r="F247" s="45"/>
      <c r="G247" s="33" t="s">
        <v>283</v>
      </c>
      <c r="H247" s="33"/>
      <c r="I247" s="66" t="s">
        <v>262</v>
      </c>
      <c r="J247" s="34"/>
      <c r="K247" s="7"/>
      <c r="L247" s="147"/>
      <c r="M247" s="28"/>
      <c r="N247" s="24"/>
      <c r="O247" s="137" t="s">
        <v>27</v>
      </c>
    </row>
    <row r="248" spans="1:16" s="2" customFormat="1" ht="13" x14ac:dyDescent="0.3">
      <c r="A248" s="44">
        <v>2</v>
      </c>
      <c r="B248" s="7"/>
      <c r="C248" s="15">
        <v>849</v>
      </c>
      <c r="D248" s="33"/>
      <c r="E248" s="73"/>
      <c r="F248" s="45"/>
      <c r="G248" s="33" t="s">
        <v>284</v>
      </c>
      <c r="H248" s="33"/>
      <c r="I248" s="66" t="s">
        <v>262</v>
      </c>
      <c r="J248" s="25"/>
      <c r="K248" s="7"/>
      <c r="L248" s="147"/>
      <c r="M248" s="28"/>
      <c r="N248" s="23"/>
      <c r="O248" s="137"/>
    </row>
    <row r="249" spans="1:16" s="2" customFormat="1" ht="13" x14ac:dyDescent="0.3">
      <c r="A249" s="44">
        <v>3</v>
      </c>
      <c r="B249" s="7"/>
      <c r="C249" s="7">
        <v>522</v>
      </c>
      <c r="D249" s="29"/>
      <c r="E249" s="74"/>
      <c r="F249" s="46"/>
      <c r="G249" s="29" t="s">
        <v>285</v>
      </c>
      <c r="H249" s="29"/>
      <c r="I249" s="67" t="s">
        <v>262</v>
      </c>
      <c r="J249" s="25"/>
      <c r="K249" s="7"/>
      <c r="L249" s="155"/>
      <c r="M249" s="28"/>
      <c r="N249" s="23"/>
      <c r="O249" s="137"/>
    </row>
    <row r="250" spans="1:16" s="2" customFormat="1" ht="13" x14ac:dyDescent="0.3">
      <c r="A250" s="7">
        <v>4</v>
      </c>
      <c r="B250" s="53"/>
      <c r="C250" s="7" t="s">
        <v>286</v>
      </c>
      <c r="D250" s="55" t="s">
        <v>287</v>
      </c>
      <c r="E250" s="33" t="s">
        <v>135</v>
      </c>
      <c r="F250" s="7" t="s">
        <v>286</v>
      </c>
      <c r="G250" s="29" t="s">
        <v>288</v>
      </c>
      <c r="H250" s="29"/>
      <c r="I250" s="67" t="s">
        <v>262</v>
      </c>
      <c r="J250" s="25"/>
      <c r="K250" s="7"/>
      <c r="L250" s="147"/>
      <c r="M250" s="28"/>
      <c r="N250" s="23"/>
      <c r="O250" s="178" t="s">
        <v>27</v>
      </c>
    </row>
    <row r="251" spans="1:16" s="2" customFormat="1" ht="13" x14ac:dyDescent="0.3">
      <c r="A251" s="44">
        <v>7</v>
      </c>
      <c r="B251" s="7"/>
      <c r="C251" s="14">
        <v>172</v>
      </c>
      <c r="D251" s="30"/>
      <c r="E251" s="76"/>
      <c r="F251" s="59"/>
      <c r="G251" s="30" t="s">
        <v>289</v>
      </c>
      <c r="H251" s="30"/>
      <c r="I251" s="40" t="s">
        <v>21</v>
      </c>
      <c r="J251" s="31"/>
      <c r="K251" s="15"/>
      <c r="L251" s="155"/>
      <c r="M251" s="28"/>
      <c r="N251" s="23"/>
      <c r="O251" s="137"/>
    </row>
    <row r="252" spans="1:16" s="2" customFormat="1" ht="13" x14ac:dyDescent="0.3">
      <c r="A252" s="44">
        <v>8</v>
      </c>
      <c r="B252" s="7"/>
      <c r="C252" s="19" t="s">
        <v>129</v>
      </c>
      <c r="D252" s="26"/>
      <c r="E252" s="75"/>
      <c r="F252" s="60">
        <v>1030</v>
      </c>
      <c r="G252" s="30" t="s">
        <v>289</v>
      </c>
      <c r="H252" s="30"/>
      <c r="I252" s="40" t="s">
        <v>21</v>
      </c>
      <c r="J252" s="25"/>
      <c r="K252" s="7"/>
      <c r="L252" s="140"/>
      <c r="M252" s="32"/>
      <c r="N252" s="23"/>
      <c r="O252" s="137"/>
    </row>
    <row r="253" spans="1:16" s="2" customFormat="1" ht="13" x14ac:dyDescent="0.3">
      <c r="A253" s="44">
        <v>9</v>
      </c>
      <c r="B253" s="53"/>
      <c r="C253" s="7" t="s">
        <v>129</v>
      </c>
      <c r="D253" s="26" t="s">
        <v>290</v>
      </c>
      <c r="E253" s="26">
        <v>90318060</v>
      </c>
      <c r="F253" s="60">
        <v>305000</v>
      </c>
      <c r="G253" s="26" t="s">
        <v>291</v>
      </c>
      <c r="H253" s="26"/>
      <c r="I253" s="40" t="s">
        <v>21</v>
      </c>
      <c r="J253" s="7"/>
      <c r="K253" s="7"/>
      <c r="L253" s="140"/>
      <c r="M253" s="32"/>
      <c r="N253" s="23"/>
      <c r="O253" s="137"/>
    </row>
    <row r="254" spans="1:16" s="2" customFormat="1" ht="13" x14ac:dyDescent="0.3">
      <c r="A254" s="44">
        <v>10</v>
      </c>
      <c r="B254" s="7"/>
      <c r="C254" s="7">
        <v>641</v>
      </c>
      <c r="D254" s="26"/>
      <c r="E254" s="75"/>
      <c r="F254" s="46">
        <v>511914</v>
      </c>
      <c r="G254" s="26" t="s">
        <v>292</v>
      </c>
      <c r="H254" s="26"/>
      <c r="I254" s="40" t="s">
        <v>21</v>
      </c>
      <c r="J254" s="25"/>
      <c r="K254" s="7"/>
      <c r="L254" s="140"/>
      <c r="M254" s="32"/>
      <c r="N254" s="23"/>
      <c r="O254" s="137"/>
    </row>
    <row r="255" spans="1:16" s="2" customFormat="1" ht="13" x14ac:dyDescent="0.3">
      <c r="A255" s="93">
        <v>88</v>
      </c>
      <c r="B255" s="84">
        <v>12014309</v>
      </c>
      <c r="C255" s="7">
        <v>59103</v>
      </c>
      <c r="D255" s="62">
        <v>223090000104</v>
      </c>
      <c r="E255" s="26">
        <v>90303100</v>
      </c>
      <c r="F255" s="7">
        <v>8500379</v>
      </c>
      <c r="G255" s="29" t="s">
        <v>171</v>
      </c>
      <c r="H255" s="29"/>
      <c r="I255" s="48" t="s">
        <v>21</v>
      </c>
      <c r="J255" s="25" t="s">
        <v>293</v>
      </c>
      <c r="K255" s="7" t="s">
        <v>23</v>
      </c>
      <c r="L255" s="147"/>
      <c r="M255" s="28"/>
      <c r="N255" s="23" t="str">
        <f ca="1">IF((TODAY())&gt;M255,"Vencido",IF(M255-(TODAY())&lt;=120,"Sol. Cal.",IF(M255&gt;(TODAY())+120,"Em Uso")))</f>
        <v>Vencido</v>
      </c>
      <c r="O255" s="132"/>
    </row>
    <row r="256" spans="1:16" s="2" customFormat="1" ht="13" x14ac:dyDescent="0.3">
      <c r="A256" s="7">
        <v>2</v>
      </c>
      <c r="B256" s="89">
        <v>12014176</v>
      </c>
      <c r="C256" s="7">
        <v>59110</v>
      </c>
      <c r="D256" s="62">
        <v>70000310</v>
      </c>
      <c r="E256" s="26">
        <v>84239010</v>
      </c>
      <c r="F256" s="7" t="s">
        <v>294</v>
      </c>
      <c r="G256" s="29" t="s">
        <v>295</v>
      </c>
      <c r="H256" s="7"/>
      <c r="I256" s="40" t="s">
        <v>21</v>
      </c>
      <c r="J256" s="25" t="s">
        <v>293</v>
      </c>
      <c r="K256" s="7" t="s">
        <v>296</v>
      </c>
      <c r="L256" s="140">
        <v>42209</v>
      </c>
      <c r="M256" s="32">
        <f>L256+1460+1</f>
        <v>43670</v>
      </c>
      <c r="N256" s="83" t="str">
        <f t="shared" ref="N256:N263" ca="1" si="11">IF((TODAY())&gt;M256,"Vencido",IF(M256-(TODAY())&lt;=120,"Sol. Cal.",IF(M256&gt;(TODAY())+120,"Em Uso")))</f>
        <v>Vencido</v>
      </c>
      <c r="O256" s="132">
        <v>714290</v>
      </c>
      <c r="P256" s="98"/>
    </row>
    <row r="257" spans="1:17" s="2" customFormat="1" ht="13" x14ac:dyDescent="0.3">
      <c r="A257" s="7">
        <v>4</v>
      </c>
      <c r="B257" s="88">
        <v>12014302</v>
      </c>
      <c r="C257" s="7">
        <v>59096</v>
      </c>
      <c r="D257" s="26" t="s">
        <v>162</v>
      </c>
      <c r="E257" s="26">
        <v>90172000</v>
      </c>
      <c r="F257" s="7" t="s">
        <v>129</v>
      </c>
      <c r="G257" s="29" t="s">
        <v>163</v>
      </c>
      <c r="H257" s="7"/>
      <c r="I257" s="40" t="s">
        <v>21</v>
      </c>
      <c r="J257" s="25" t="s">
        <v>293</v>
      </c>
      <c r="K257" s="7" t="s">
        <v>23</v>
      </c>
      <c r="L257" s="140">
        <v>42065</v>
      </c>
      <c r="M257" s="32">
        <f>IF(K257="12 meses",L257+365,IF(K257="24 meses",L257+730,IF(K257="36 meses",L257+1095)))</f>
        <v>42795</v>
      </c>
      <c r="N257" s="83" t="str">
        <f t="shared" ca="1" si="11"/>
        <v>Vencido</v>
      </c>
      <c r="O257" s="132" t="s">
        <v>297</v>
      </c>
    </row>
    <row r="258" spans="1:17" s="2" customFormat="1" ht="12.75" customHeight="1" x14ac:dyDescent="0.3">
      <c r="A258" s="7">
        <v>5</v>
      </c>
      <c r="B258" s="89">
        <v>12014294</v>
      </c>
      <c r="C258" s="7">
        <v>59088</v>
      </c>
      <c r="D258" s="26" t="s">
        <v>298</v>
      </c>
      <c r="E258" s="26">
        <v>90262010</v>
      </c>
      <c r="F258" s="7">
        <v>450</v>
      </c>
      <c r="G258" s="29" t="s">
        <v>299</v>
      </c>
      <c r="H258" s="7"/>
      <c r="I258" s="40" t="s">
        <v>21</v>
      </c>
      <c r="J258" s="25" t="s">
        <v>83</v>
      </c>
      <c r="K258" s="7" t="s">
        <v>84</v>
      </c>
      <c r="L258" s="140">
        <v>41883</v>
      </c>
      <c r="M258" s="32">
        <f>L258+365</f>
        <v>42248</v>
      </c>
      <c r="N258" s="83" t="str">
        <f t="shared" ca="1" si="11"/>
        <v>Vencido</v>
      </c>
      <c r="O258" s="132" t="s">
        <v>300</v>
      </c>
    </row>
    <row r="259" spans="1:17" s="2" customFormat="1" ht="13" x14ac:dyDescent="0.3">
      <c r="A259" s="7">
        <v>6</v>
      </c>
      <c r="B259" s="88">
        <v>12014340</v>
      </c>
      <c r="C259" s="7">
        <v>59136</v>
      </c>
      <c r="D259" s="26">
        <v>8444</v>
      </c>
      <c r="E259" s="26">
        <v>90172000</v>
      </c>
      <c r="F259" s="7">
        <v>505</v>
      </c>
      <c r="G259" s="29" t="s">
        <v>301</v>
      </c>
      <c r="H259" s="7"/>
      <c r="I259" s="42" t="s">
        <v>262</v>
      </c>
      <c r="J259" s="25" t="s">
        <v>97</v>
      </c>
      <c r="K259" s="7" t="s">
        <v>23</v>
      </c>
      <c r="L259" s="140">
        <v>42394</v>
      </c>
      <c r="M259" s="32">
        <f>IF(K259="12 meses",L259+365,IF(K259="24 meses",L259+731,IF(K259="36 meses",L259+1095)))</f>
        <v>43125</v>
      </c>
      <c r="N259" s="83" t="str">
        <f t="shared" ca="1" si="11"/>
        <v>Vencido</v>
      </c>
      <c r="O259" s="132">
        <v>738005</v>
      </c>
    </row>
    <row r="260" spans="1:17" s="2" customFormat="1" ht="13" x14ac:dyDescent="0.3">
      <c r="A260" s="7">
        <v>7</v>
      </c>
      <c r="B260" s="88">
        <v>12014286</v>
      </c>
      <c r="C260" s="7">
        <v>59079</v>
      </c>
      <c r="D260" s="26" t="s">
        <v>287</v>
      </c>
      <c r="E260" s="26" t="s">
        <v>135</v>
      </c>
      <c r="F260" s="7" t="s">
        <v>302</v>
      </c>
      <c r="G260" s="29" t="s">
        <v>303</v>
      </c>
      <c r="H260" s="7"/>
      <c r="I260" s="40" t="s">
        <v>21</v>
      </c>
      <c r="J260" s="25" t="s">
        <v>97</v>
      </c>
      <c r="K260" s="7" t="s">
        <v>23</v>
      </c>
      <c r="L260" s="140">
        <v>41873</v>
      </c>
      <c r="M260" s="32">
        <f>IF(K260="12 meses",L260+365,IF(K260="24 meses",L260+730,IF(K260="36 meses",L260+1095)))</f>
        <v>42603</v>
      </c>
      <c r="N260" s="83" t="str">
        <f t="shared" ca="1" si="11"/>
        <v>Vencido</v>
      </c>
      <c r="O260" s="132" t="s">
        <v>304</v>
      </c>
    </row>
    <row r="261" spans="1:17" s="2" customFormat="1" ht="13" x14ac:dyDescent="0.3">
      <c r="A261" s="7">
        <v>8</v>
      </c>
      <c r="B261" s="89">
        <v>12014278</v>
      </c>
      <c r="C261" s="7">
        <v>59071</v>
      </c>
      <c r="D261" s="26" t="s">
        <v>305</v>
      </c>
      <c r="E261" s="26" t="s">
        <v>135</v>
      </c>
      <c r="F261" s="7" t="s">
        <v>306</v>
      </c>
      <c r="G261" s="29" t="s">
        <v>307</v>
      </c>
      <c r="H261" s="7"/>
      <c r="I261" s="42" t="s">
        <v>262</v>
      </c>
      <c r="J261" s="25" t="s">
        <v>97</v>
      </c>
      <c r="K261" s="7" t="s">
        <v>23</v>
      </c>
      <c r="L261" s="140">
        <v>41872</v>
      </c>
      <c r="M261" s="32">
        <f>IF(K261="12 meses",L261+365,IF(K261="24 meses",L261+731,IF(K261="36 meses",L261+1095)))</f>
        <v>42603</v>
      </c>
      <c r="N261" s="83" t="str">
        <f t="shared" ca="1" si="11"/>
        <v>Vencido</v>
      </c>
      <c r="O261" s="132" t="s">
        <v>308</v>
      </c>
    </row>
    <row r="262" spans="1:17" s="2" customFormat="1" ht="13" x14ac:dyDescent="0.3">
      <c r="A262" s="7">
        <v>9</v>
      </c>
      <c r="B262" s="88">
        <v>12014279</v>
      </c>
      <c r="C262" s="7">
        <v>59072</v>
      </c>
      <c r="D262" s="26" t="s">
        <v>305</v>
      </c>
      <c r="E262" s="26" t="s">
        <v>135</v>
      </c>
      <c r="F262" s="7">
        <v>82166</v>
      </c>
      <c r="G262" s="29" t="s">
        <v>307</v>
      </c>
      <c r="H262" s="7"/>
      <c r="I262" s="40" t="s">
        <v>21</v>
      </c>
      <c r="J262" s="25" t="s">
        <v>97</v>
      </c>
      <c r="K262" s="7" t="s">
        <v>23</v>
      </c>
      <c r="L262" s="140">
        <v>42248</v>
      </c>
      <c r="M262" s="32">
        <f>L262+729+2</f>
        <v>42979</v>
      </c>
      <c r="N262" s="83" t="str">
        <f t="shared" ca="1" si="11"/>
        <v>Vencido</v>
      </c>
      <c r="O262" s="132" t="s">
        <v>309</v>
      </c>
    </row>
    <row r="263" spans="1:17" s="2" customFormat="1" ht="13" x14ac:dyDescent="0.3">
      <c r="A263" s="7">
        <v>10</v>
      </c>
      <c r="B263" s="88">
        <v>12014280</v>
      </c>
      <c r="C263" s="7">
        <v>59073</v>
      </c>
      <c r="D263" s="26" t="s">
        <v>305</v>
      </c>
      <c r="E263" s="26" t="s">
        <v>135</v>
      </c>
      <c r="F263" s="7" t="s">
        <v>310</v>
      </c>
      <c r="G263" s="29" t="s">
        <v>307</v>
      </c>
      <c r="H263" s="7"/>
      <c r="I263" s="40" t="s">
        <v>21</v>
      </c>
      <c r="J263" s="25" t="s">
        <v>97</v>
      </c>
      <c r="K263" s="7" t="s">
        <v>23</v>
      </c>
      <c r="L263" s="140">
        <v>42248</v>
      </c>
      <c r="M263" s="32">
        <f>IF(K263="12 meses",L263+365,IF(K263="24 meses",L263+731,IF(K263="36 meses",L263+1095)))</f>
        <v>42979</v>
      </c>
      <c r="N263" s="83" t="str">
        <f t="shared" ca="1" si="11"/>
        <v>Vencido</v>
      </c>
      <c r="O263" s="132" t="s">
        <v>311</v>
      </c>
    </row>
    <row r="264" spans="1:17" s="2" customFormat="1" ht="13" x14ac:dyDescent="0.3">
      <c r="A264" s="7">
        <v>11</v>
      </c>
      <c r="B264" s="88">
        <v>12014281</v>
      </c>
      <c r="C264" s="7">
        <v>59074</v>
      </c>
      <c r="D264" s="26" t="s">
        <v>312</v>
      </c>
      <c r="E264" s="26" t="s">
        <v>135</v>
      </c>
      <c r="F264" s="7" t="s">
        <v>313</v>
      </c>
      <c r="G264" s="29" t="s">
        <v>314</v>
      </c>
      <c r="H264" s="7"/>
      <c r="I264" s="40" t="s">
        <v>21</v>
      </c>
      <c r="J264" s="25" t="s">
        <v>97</v>
      </c>
      <c r="K264" s="7" t="s">
        <v>23</v>
      </c>
      <c r="L264" s="140">
        <v>41877</v>
      </c>
      <c r="M264" s="32">
        <f>IF(K264="12 meses",L264+366,IF(K264="24 meses",L264+731,IF(K264="36 meses",L264+1095)))</f>
        <v>42608</v>
      </c>
      <c r="N264" s="83" t="str">
        <f ca="1">IF((TODAY())&gt;M264,"Vencido",IF(M136-(TODAY())&lt;=120,"Sol. Cal.",IF(M264&gt;(TODAY())+120,"Em Uso")))</f>
        <v>Vencido</v>
      </c>
      <c r="O264" s="132" t="s">
        <v>315</v>
      </c>
    </row>
    <row r="265" spans="1:17" s="2" customFormat="1" ht="13" x14ac:dyDescent="0.3">
      <c r="A265" s="7">
        <v>12</v>
      </c>
      <c r="B265" s="89">
        <v>12014174</v>
      </c>
      <c r="C265" s="7">
        <v>59068</v>
      </c>
      <c r="D265" s="26" t="s">
        <v>258</v>
      </c>
      <c r="E265" s="26" t="s">
        <v>135</v>
      </c>
      <c r="F265" s="7">
        <v>78694</v>
      </c>
      <c r="G265" s="29" t="s">
        <v>316</v>
      </c>
      <c r="H265" s="7"/>
      <c r="I265" s="40" t="s">
        <v>21</v>
      </c>
      <c r="J265" s="25" t="s">
        <v>293</v>
      </c>
      <c r="K265" s="7" t="s">
        <v>23</v>
      </c>
      <c r="L265" s="140">
        <v>42212</v>
      </c>
      <c r="M265" s="32">
        <f>L265+729+2</f>
        <v>42943</v>
      </c>
      <c r="N265" s="83" t="str">
        <f ca="1">IF((TODAY())&gt;M265,"Vencido",IF(M265-(TODAY())&lt;=120,"Sol. Cal.",IF(M265&gt;(TODAY())+120,"Em Uso")))</f>
        <v>Vencido</v>
      </c>
      <c r="O265" s="132" t="s">
        <v>317</v>
      </c>
    </row>
    <row r="266" spans="1:17" s="2" customFormat="1" ht="13" x14ac:dyDescent="0.3">
      <c r="A266" s="7">
        <v>14</v>
      </c>
      <c r="B266" s="89">
        <v>12014274</v>
      </c>
      <c r="C266" s="7">
        <v>59066</v>
      </c>
      <c r="D266" s="71" t="s">
        <v>126</v>
      </c>
      <c r="E266" s="26">
        <v>91029900</v>
      </c>
      <c r="F266" s="7">
        <v>678</v>
      </c>
      <c r="G266" s="29" t="s">
        <v>127</v>
      </c>
      <c r="H266" s="7"/>
      <c r="I266" s="40" t="s">
        <v>21</v>
      </c>
      <c r="J266" s="25" t="s">
        <v>293</v>
      </c>
      <c r="K266" s="7" t="s">
        <v>84</v>
      </c>
      <c r="L266" s="140">
        <v>42455</v>
      </c>
      <c r="M266" s="32">
        <f>IF(K266="12 meses",L266+365,IF(K266="24 meses",L266+730,IF(K266="36 meses",L266+1095)))</f>
        <v>42820</v>
      </c>
      <c r="N266" s="83" t="str">
        <f ca="1">IF((TODAY())&gt;M266,"Vencido",IF(M266-(TODAY())&lt;=120,"Sol. Cal.",IF(M266&gt;(TODAY())+120,"Em Uso")))</f>
        <v>Vencido</v>
      </c>
      <c r="O266" s="132" t="s">
        <v>318</v>
      </c>
    </row>
    <row r="267" spans="1:17" s="2" customFormat="1" ht="13" x14ac:dyDescent="0.3">
      <c r="A267" s="7">
        <v>15</v>
      </c>
      <c r="B267" s="89">
        <v>12014272</v>
      </c>
      <c r="C267" s="7">
        <v>59064</v>
      </c>
      <c r="D267" s="71" t="s">
        <v>126</v>
      </c>
      <c r="E267" s="26">
        <v>91029900</v>
      </c>
      <c r="F267" s="7"/>
      <c r="G267" s="29" t="s">
        <v>319</v>
      </c>
      <c r="H267" s="7" t="s">
        <v>270</v>
      </c>
      <c r="I267" s="42" t="s">
        <v>262</v>
      </c>
      <c r="J267" s="25" t="s">
        <v>293</v>
      </c>
      <c r="K267" s="7" t="s">
        <v>84</v>
      </c>
      <c r="L267" s="140">
        <v>42751</v>
      </c>
      <c r="M267" s="32">
        <f>L267+365</f>
        <v>43116</v>
      </c>
      <c r="N267" s="83" t="str">
        <f ca="1">IF((TODAY())&gt;M267,"Vencido",IF(M267-(TODAY())&lt;=120,"Sol. Cal.",IF(M267&gt;(TODAY())+120,"Em Uso")))</f>
        <v>Vencido</v>
      </c>
      <c r="O267" s="132" t="s">
        <v>320</v>
      </c>
    </row>
    <row r="268" spans="1:17" ht="13" x14ac:dyDescent="0.3">
      <c r="A268" s="7">
        <v>40</v>
      </c>
      <c r="B268" s="89">
        <v>12014235</v>
      </c>
      <c r="C268" s="7">
        <v>54594</v>
      </c>
      <c r="D268" s="26" t="s">
        <v>109</v>
      </c>
      <c r="E268" s="26">
        <v>90318060</v>
      </c>
      <c r="F268" s="7">
        <v>693632</v>
      </c>
      <c r="G268" s="29" t="s">
        <v>110</v>
      </c>
      <c r="H268" s="105" t="s">
        <v>29</v>
      </c>
      <c r="I268" s="40" t="s">
        <v>21</v>
      </c>
      <c r="J268" s="25" t="s">
        <v>321</v>
      </c>
      <c r="K268" s="7" t="s">
        <v>23</v>
      </c>
      <c r="L268" s="140">
        <v>43704</v>
      </c>
      <c r="M268" s="32">
        <f>IF(K268="12 meses",L268+365,IF(K268="24 meses",L268+731,IF(K268="36 meses",L268+1095)))</f>
        <v>44435</v>
      </c>
      <c r="N268" s="23" t="str">
        <f ca="1">IF((TODAY())&gt;M268,"Vencido",IF(M268-(TODAY())&lt;=120,"Sol. Cal.",IF(M268&gt;(TODAY())+120,"Em Uso")))</f>
        <v>Vencido</v>
      </c>
      <c r="O268" s="132" t="s">
        <v>322</v>
      </c>
    </row>
    <row r="269" spans="1:17" ht="13" x14ac:dyDescent="0.3">
      <c r="A269" s="7">
        <v>72</v>
      </c>
      <c r="B269" s="89">
        <v>12015976</v>
      </c>
      <c r="C269" s="7">
        <v>61808</v>
      </c>
      <c r="D269" s="26" t="s">
        <v>323</v>
      </c>
      <c r="E269" s="26">
        <v>90249000</v>
      </c>
      <c r="F269" s="7">
        <v>1167</v>
      </c>
      <c r="G269" s="29" t="s">
        <v>324</v>
      </c>
      <c r="H269" s="40"/>
      <c r="I269" s="40" t="s">
        <v>21</v>
      </c>
      <c r="J269" s="25" t="s">
        <v>22</v>
      </c>
      <c r="K269" s="7" t="s">
        <v>23</v>
      </c>
      <c r="L269" s="140">
        <v>44317</v>
      </c>
      <c r="M269" s="32">
        <f>L269+731</f>
        <v>45048</v>
      </c>
      <c r="N269" s="23" t="str">
        <f ca="1">IF((TODAY())&gt;M269,"Vencido",IF(M269-(TODAY())&lt;=120,"Sol. Cal.",IF(M269&gt;(TODAY())+120,"Em Uso")))</f>
        <v>Vencido</v>
      </c>
      <c r="O269" s="132" t="s">
        <v>325</v>
      </c>
    </row>
    <row r="270" spans="1:17" ht="13" x14ac:dyDescent="0.3">
      <c r="A270" s="7">
        <v>193</v>
      </c>
      <c r="B270" s="91">
        <v>12014362</v>
      </c>
      <c r="C270" s="18"/>
      <c r="D270" s="114">
        <v>6435</v>
      </c>
      <c r="E270" s="114">
        <v>90251990</v>
      </c>
      <c r="F270" s="18">
        <v>160479</v>
      </c>
      <c r="G270" s="110" t="s">
        <v>243</v>
      </c>
      <c r="H270" s="103" t="s">
        <v>20</v>
      </c>
      <c r="I270" s="91" t="s">
        <v>21</v>
      </c>
      <c r="J270" s="25" t="s">
        <v>128</v>
      </c>
      <c r="K270" s="18" t="s">
        <v>23</v>
      </c>
      <c r="L270" s="145">
        <v>45105</v>
      </c>
      <c r="M270" s="144">
        <f>IF(K270="12 meses",L270+365,IF(K270="24 meses",L270+730,IF(K270="36 meses",L270+1095)))</f>
        <v>45835</v>
      </c>
      <c r="N270" s="24" t="str">
        <f t="shared" ref="N270:N279" ca="1" si="12">IF((TODAY())&gt;M270,"Vencido",IF(M270-(TODAY())&lt;=30,"Sol. Cal. Urgen.",IF(M270-(TODAY())&lt;=120,"Sol. Cal.",IF(M270&gt;(TODAY())+120,"Em Uso"))))</f>
        <v>Vencido</v>
      </c>
      <c r="O270" s="136" t="s">
        <v>326</v>
      </c>
      <c r="P270" s="94"/>
      <c r="Q270" s="2"/>
    </row>
    <row r="271" spans="1:17" ht="13" x14ac:dyDescent="0.3">
      <c r="A271" s="7">
        <v>200</v>
      </c>
      <c r="B271" s="40">
        <v>12021179</v>
      </c>
      <c r="C271" s="7"/>
      <c r="D271" s="62"/>
      <c r="E271" s="62"/>
      <c r="F271" s="7">
        <v>10361318</v>
      </c>
      <c r="G271" s="29" t="s">
        <v>327</v>
      </c>
      <c r="H271" s="111" t="s">
        <v>270</v>
      </c>
      <c r="I271" s="40" t="s">
        <v>262</v>
      </c>
      <c r="J271" s="25" t="s">
        <v>90</v>
      </c>
      <c r="K271" s="7" t="s">
        <v>23</v>
      </c>
      <c r="L271" s="147">
        <v>44363</v>
      </c>
      <c r="M271" s="141">
        <f>IF(K271="12 meses",L271+365,IF(K271="24 meses",L271+731,IF(K271="36 meses",L271+1095)))</f>
        <v>45094</v>
      </c>
      <c r="N271" s="24" t="str">
        <f t="shared" ca="1" si="12"/>
        <v>Vencido</v>
      </c>
      <c r="O271" s="136" t="s">
        <v>326</v>
      </c>
      <c r="P271" s="94"/>
      <c r="Q271" s="2"/>
    </row>
    <row r="272" spans="1:17" s="180" customFormat="1" ht="13.5" thickBot="1" x14ac:dyDescent="0.35">
      <c r="A272" s="7">
        <v>78</v>
      </c>
      <c r="B272" s="171">
        <v>12017227</v>
      </c>
      <c r="C272" s="308"/>
      <c r="D272" s="172" t="s">
        <v>104</v>
      </c>
      <c r="E272" s="172">
        <v>90173090</v>
      </c>
      <c r="F272" s="170" t="s">
        <v>104</v>
      </c>
      <c r="G272" s="189" t="s">
        <v>106</v>
      </c>
      <c r="H272" s="171" t="s">
        <v>35</v>
      </c>
      <c r="I272" s="171" t="s">
        <v>21</v>
      </c>
      <c r="J272" s="174" t="s">
        <v>90</v>
      </c>
      <c r="K272" s="170" t="s">
        <v>23</v>
      </c>
      <c r="L272" s="202">
        <v>42928</v>
      </c>
      <c r="M272" s="176">
        <f>IF(K272="12 meses",L272+364,IF(K272="24 meses",L272+730,IF(K272="36 meses",L272+1094)))</f>
        <v>43658</v>
      </c>
      <c r="N272" s="24" t="str">
        <f t="shared" ca="1" si="12"/>
        <v>Vencido</v>
      </c>
      <c r="O272" s="311"/>
    </row>
    <row r="273" spans="1:16" s="2" customFormat="1" ht="14.5" thickBot="1" x14ac:dyDescent="0.35">
      <c r="A273" s="7">
        <v>105</v>
      </c>
      <c r="B273" s="91">
        <v>12014284</v>
      </c>
      <c r="C273" s="18">
        <v>59077</v>
      </c>
      <c r="D273" s="27" t="s">
        <v>328</v>
      </c>
      <c r="E273" s="27" t="s">
        <v>135</v>
      </c>
      <c r="F273" s="18" t="s">
        <v>329</v>
      </c>
      <c r="G273" s="110" t="s">
        <v>330</v>
      </c>
      <c r="H273" s="91" t="s">
        <v>131</v>
      </c>
      <c r="I273" s="41" t="s">
        <v>262</v>
      </c>
      <c r="J273" s="92" t="s">
        <v>97</v>
      </c>
      <c r="K273" s="18" t="s">
        <v>23</v>
      </c>
      <c r="L273" s="145">
        <v>43623</v>
      </c>
      <c r="M273" s="146">
        <f>L273+730+1</f>
        <v>44354</v>
      </c>
      <c r="N273" s="24" t="str">
        <f t="shared" ca="1" si="12"/>
        <v>Vencido</v>
      </c>
      <c r="O273" s="311" t="s">
        <v>27</v>
      </c>
      <c r="P273" s="94"/>
    </row>
    <row r="274" spans="1:16" s="2" customFormat="1" ht="15" customHeight="1" x14ac:dyDescent="0.3">
      <c r="A274" s="7">
        <v>106</v>
      </c>
      <c r="B274" s="40">
        <v>12014285</v>
      </c>
      <c r="C274" s="7">
        <v>59078</v>
      </c>
      <c r="D274" s="26" t="s">
        <v>287</v>
      </c>
      <c r="E274" s="26" t="s">
        <v>135</v>
      </c>
      <c r="F274" s="7" t="s">
        <v>331</v>
      </c>
      <c r="G274" s="29" t="s">
        <v>303</v>
      </c>
      <c r="H274" s="40" t="s">
        <v>131</v>
      </c>
      <c r="I274" s="42" t="s">
        <v>262</v>
      </c>
      <c r="J274" s="25" t="s">
        <v>97</v>
      </c>
      <c r="K274" s="7" t="s">
        <v>23</v>
      </c>
      <c r="L274" s="140">
        <v>45337</v>
      </c>
      <c r="M274" s="141">
        <f>L274+730+1</f>
        <v>46068</v>
      </c>
      <c r="N274" s="24" t="str">
        <f t="shared" ca="1" si="12"/>
        <v>Vencido</v>
      </c>
      <c r="O274" s="312"/>
      <c r="P274" s="72"/>
    </row>
    <row r="275" spans="1:16" s="180" customFormat="1" ht="15" customHeight="1" thickBot="1" x14ac:dyDescent="0.35">
      <c r="A275" s="7">
        <v>108</v>
      </c>
      <c r="B275" s="171">
        <v>12014175</v>
      </c>
      <c r="C275" s="170">
        <v>59081</v>
      </c>
      <c r="D275" s="172" t="s">
        <v>134</v>
      </c>
      <c r="E275" s="172" t="s">
        <v>135</v>
      </c>
      <c r="F275" s="170" t="s">
        <v>332</v>
      </c>
      <c r="G275" s="189" t="s">
        <v>333</v>
      </c>
      <c r="H275" s="171" t="s">
        <v>131</v>
      </c>
      <c r="I275" s="171" t="s">
        <v>21</v>
      </c>
      <c r="J275" s="174" t="s">
        <v>90</v>
      </c>
      <c r="K275" s="170" t="s">
        <v>23</v>
      </c>
      <c r="L275" s="175">
        <v>44496</v>
      </c>
      <c r="M275" s="176">
        <f>IF(K275="12 meses",L275+365,IF(K275="24 meses",L275+730,IF(K275="36 meses",L275+1095)))</f>
        <v>45226</v>
      </c>
      <c r="N275" s="24" t="str">
        <f t="shared" ca="1" si="12"/>
        <v>Vencido</v>
      </c>
      <c r="O275" s="313" t="s">
        <v>27</v>
      </c>
      <c r="P275" s="179"/>
    </row>
    <row r="276" spans="1:16" s="2" customFormat="1" ht="13" x14ac:dyDescent="0.3">
      <c r="A276" s="7">
        <v>135</v>
      </c>
      <c r="B276" s="113">
        <v>12014304</v>
      </c>
      <c r="C276" s="18">
        <v>59098</v>
      </c>
      <c r="D276" s="27" t="s">
        <v>334</v>
      </c>
      <c r="E276" s="27">
        <v>90173010</v>
      </c>
      <c r="F276" s="18">
        <v>18091</v>
      </c>
      <c r="G276" s="110" t="s">
        <v>335</v>
      </c>
      <c r="H276" s="103" t="s">
        <v>20</v>
      </c>
      <c r="I276" s="91" t="s">
        <v>21</v>
      </c>
      <c r="J276" s="92" t="s">
        <v>184</v>
      </c>
      <c r="K276" s="18" t="s">
        <v>23</v>
      </c>
      <c r="L276" s="145">
        <v>45055</v>
      </c>
      <c r="M276" s="144">
        <f>IF(K276="12 meses",L276+761,IF(K276="24 meses",L276+730,IF(K276="36 meses",L276+1065)))</f>
        <v>45785</v>
      </c>
      <c r="N276" s="24" t="str">
        <f t="shared" ca="1" si="12"/>
        <v>Vencido</v>
      </c>
      <c r="O276" s="314" t="s">
        <v>336</v>
      </c>
      <c r="P276" s="94"/>
    </row>
    <row r="277" spans="1:16" s="2" customFormat="1" ht="13" x14ac:dyDescent="0.3">
      <c r="A277" s="7">
        <v>199</v>
      </c>
      <c r="B277" s="91">
        <v>12021178</v>
      </c>
      <c r="C277" s="18"/>
      <c r="D277" s="114"/>
      <c r="E277" s="114"/>
      <c r="F277" s="18">
        <v>10361339</v>
      </c>
      <c r="G277" s="110" t="s">
        <v>327</v>
      </c>
      <c r="H277" s="103" t="s">
        <v>20</v>
      </c>
      <c r="I277" s="91" t="s">
        <v>21</v>
      </c>
      <c r="J277" s="92" t="s">
        <v>90</v>
      </c>
      <c r="K277" s="18" t="s">
        <v>23</v>
      </c>
      <c r="L277" s="145">
        <v>44363</v>
      </c>
      <c r="M277" s="144">
        <f>IF(K277="12 meses",L277+365,IF(K277="24 meses",L277+731,IF(K277="36 meses",L277+1095)))</f>
        <v>45094</v>
      </c>
      <c r="N277" s="57" t="str">
        <f t="shared" ca="1" si="12"/>
        <v>Vencido</v>
      </c>
      <c r="O277" s="315" t="s">
        <v>27</v>
      </c>
      <c r="P277" s="94"/>
    </row>
    <row r="278" spans="1:16" s="2" customFormat="1" ht="13.5" thickBot="1" x14ac:dyDescent="0.35">
      <c r="A278" s="7">
        <v>201</v>
      </c>
      <c r="B278" s="40">
        <v>12021180</v>
      </c>
      <c r="C278" s="7"/>
      <c r="D278" s="62"/>
      <c r="E278" s="62"/>
      <c r="F278" s="7">
        <v>10361312</v>
      </c>
      <c r="G278" s="29" t="s">
        <v>327</v>
      </c>
      <c r="H278" s="112" t="s">
        <v>30</v>
      </c>
      <c r="I278" s="40" t="s">
        <v>21</v>
      </c>
      <c r="J278" s="25" t="s">
        <v>128</v>
      </c>
      <c r="K278" s="7" t="s">
        <v>23</v>
      </c>
      <c r="L278" s="147">
        <v>44826</v>
      </c>
      <c r="M278" s="141">
        <f>IF(K278="12 meses",L278+365,IF(K278="24 meses",L278+731,IF(K278="36 meses",L278+1095)))</f>
        <v>45557</v>
      </c>
      <c r="N278" s="24" t="str">
        <f t="shared" ca="1" si="12"/>
        <v>Vencido</v>
      </c>
      <c r="O278" s="316" t="s">
        <v>27</v>
      </c>
      <c r="P278" s="94"/>
    </row>
    <row r="279" spans="1:16" s="180" customFormat="1" ht="13.5" thickBot="1" x14ac:dyDescent="0.35">
      <c r="A279" s="7">
        <v>202</v>
      </c>
      <c r="B279" s="171">
        <v>12021181</v>
      </c>
      <c r="C279" s="170"/>
      <c r="D279" s="201"/>
      <c r="E279" s="201"/>
      <c r="F279" s="170">
        <v>10361344</v>
      </c>
      <c r="G279" s="189" t="s">
        <v>327</v>
      </c>
      <c r="H279" s="159" t="s">
        <v>35</v>
      </c>
      <c r="I279" s="183" t="s">
        <v>132</v>
      </c>
      <c r="J279" s="174" t="s">
        <v>128</v>
      </c>
      <c r="K279" s="170" t="s">
        <v>23</v>
      </c>
      <c r="L279" s="202">
        <v>44826</v>
      </c>
      <c r="M279" s="176">
        <f>IF(K279="12 meses",L279+365,IF(K279="24 meses",L279+731,IF(K279="36 meses",L279+1095)))</f>
        <v>45557</v>
      </c>
      <c r="N279" s="24" t="str">
        <f t="shared" ca="1" si="12"/>
        <v>Vencido</v>
      </c>
      <c r="O279" s="311" t="s">
        <v>27</v>
      </c>
      <c r="P279" s="179"/>
    </row>
    <row r="280" spans="1:16" s="180" customFormat="1" ht="13" customHeight="1" thickBot="1" x14ac:dyDescent="0.35">
      <c r="A280" s="7">
        <v>124</v>
      </c>
      <c r="B280" s="243">
        <v>12014296</v>
      </c>
      <c r="C280" s="244">
        <v>59090</v>
      </c>
      <c r="D280" s="245" t="s">
        <v>337</v>
      </c>
      <c r="E280" s="245">
        <v>90262010</v>
      </c>
      <c r="F280" s="244">
        <v>1024262</v>
      </c>
      <c r="G280" s="250" t="s">
        <v>338</v>
      </c>
      <c r="H280" s="243" t="s">
        <v>131</v>
      </c>
      <c r="I280" s="243" t="s">
        <v>21</v>
      </c>
      <c r="J280" s="251" t="s">
        <v>83</v>
      </c>
      <c r="K280" s="244" t="s">
        <v>23</v>
      </c>
      <c r="L280" s="252">
        <v>43327</v>
      </c>
      <c r="M280" s="253">
        <f>L280+730+0</f>
        <v>44057</v>
      </c>
      <c r="N280" s="254" t="str">
        <f ca="1">IF((TODAY())&gt;M280,"Vencido",IF(M280-(TODAY())&lt;=30,"Sol. Cal. Urgen.",IF(M280-(TODAY())&lt;=120,"Sol. Cal.",IF(M280&gt;(TODAY())+120,"Em Uso"))))</f>
        <v>Vencido</v>
      </c>
      <c r="O280" s="315" t="s">
        <v>339</v>
      </c>
      <c r="P280" s="179"/>
    </row>
  </sheetData>
  <autoFilter ref="A4:O221" xr:uid="{00000000-0001-0000-0000-000000000000}"/>
  <sortState xmlns:xlrd2="http://schemas.microsoft.com/office/spreadsheetml/2017/richdata2" ref="A82:O216">
    <sortCondition ref="A81:A216"/>
  </sortState>
  <customSheetViews>
    <customSheetView guid="{8EA26BD9-9B48-4DE2-9240-E3F5C7F2BA73}" showPageBreaks="1" showGridLines="0" printArea="1" showAutoFilter="1">
      <pane ySplit="4" topLeftCell="A5" activePane="bottomLeft" state="frozen"/>
      <selection pane="bottomLeft" activeCell="L156" sqref="L156"/>
      <pageMargins left="0" right="0" top="0" bottom="0" header="0" footer="0"/>
      <printOptions horizontalCentered="1"/>
      <pageSetup paperSize="8" fitToWidth="0" orientation="landscape" r:id="rId1"/>
      <headerFooter alignWithMargins="0"/>
      <autoFilter ref="B1:P1" xr:uid="{CDE687BF-3DD6-49A4-BD97-4FC62391DD46}"/>
    </customSheetView>
    <customSheetView guid="{51C17D9A-DEF3-414C-A3A2-F0446E3FEC73}" showGridLines="0" showAutoFilter="1">
      <pane ySplit="4" topLeftCell="A5" activePane="bottomLeft" state="frozen"/>
      <selection pane="bottomLeft" activeCell="H189" sqref="H189"/>
      <pageMargins left="0" right="0" top="0" bottom="0" header="0" footer="0"/>
      <printOptions horizontalCentered="1"/>
      <pageSetup paperSize="8" fitToWidth="0" orientation="landscape" r:id="rId2"/>
      <headerFooter alignWithMargins="0"/>
      <autoFilter ref="B1:P1" xr:uid="{49FC6ED8-0B45-46CA-845E-23B747B6FE4F}"/>
    </customSheetView>
    <customSheetView guid="{E8FE5231-F5AC-4125-B511-1B97A6426B66}" showPageBreaks="1" showGridLines="0" printArea="1" showAutoFilter="1">
      <pane ySplit="4" topLeftCell="A176" activePane="bottomLeft" state="frozen"/>
      <selection pane="bottomLeft" activeCell="B189" sqref="B189:I189"/>
      <pageMargins left="0" right="0" top="0" bottom="0" header="0" footer="0"/>
      <printOptions horizontalCentered="1"/>
      <pageSetup paperSize="8" fitToWidth="0" orientation="landscape" r:id="rId3"/>
      <headerFooter alignWithMargins="0"/>
      <autoFilter ref="B1:P1" xr:uid="{B2CF47EC-03D3-4B58-9D8A-285BCC697CE1}"/>
    </customSheetView>
  </customSheetViews>
  <mergeCells count="1">
    <mergeCell ref="A2:O2"/>
  </mergeCells>
  <phoneticPr fontId="0" type="noConversion"/>
  <conditionalFormatting sqref="N5:N201 N203:N217">
    <cfRule type="cellIs" dxfId="19" priority="15" stopIfTrue="1" operator="equal">
      <formula>"Em Uso"</formula>
    </cfRule>
    <cfRule type="cellIs" dxfId="18" priority="16" stopIfTrue="1" operator="equal">
      <formula>"Sol. Cal."</formula>
    </cfRule>
    <cfRule type="cellIs" dxfId="17" priority="17" stopIfTrue="1" operator="equal">
      <formula>"Vencido"</formula>
    </cfRule>
  </conditionalFormatting>
  <conditionalFormatting sqref="N5:N217 N270:N280">
    <cfRule type="cellIs" dxfId="16" priority="7" stopIfTrue="1" operator="equal">
      <formula>"Sol. Cal. Urgen."</formula>
    </cfRule>
  </conditionalFormatting>
  <conditionalFormatting sqref="N202">
    <cfRule type="cellIs" dxfId="15" priority="1" stopIfTrue="1" operator="equal">
      <formula>"Em Uso"</formula>
    </cfRule>
    <cfRule type="cellIs" dxfId="14" priority="2" stopIfTrue="1" operator="equal">
      <formula>"Sol. Cal."</formula>
    </cfRule>
    <cfRule type="cellIs" dxfId="13" priority="3" stopIfTrue="1" operator="equal">
      <formula>"Vencido"</formula>
    </cfRule>
  </conditionalFormatting>
  <conditionalFormatting sqref="N224:N229">
    <cfRule type="cellIs" dxfId="12" priority="144" stopIfTrue="1" operator="equal">
      <formula>"Em Uso"</formula>
    </cfRule>
    <cfRule type="cellIs" dxfId="11" priority="145" stopIfTrue="1" operator="equal">
      <formula>"Sol. Cal."</formula>
    </cfRule>
    <cfRule type="cellIs" dxfId="10" priority="146" stopIfTrue="1" operator="equal">
      <formula>"Vencido"</formula>
    </cfRule>
  </conditionalFormatting>
  <conditionalFormatting sqref="N233:N237">
    <cfRule type="cellIs" dxfId="9" priority="18" stopIfTrue="1" operator="equal">
      <formula>"Em Uso"</formula>
    </cfRule>
    <cfRule type="cellIs" dxfId="8" priority="19" stopIfTrue="1" operator="equal">
      <formula>"Sol. Cal."</formula>
    </cfRule>
    <cfRule type="cellIs" dxfId="7" priority="20" stopIfTrue="1" operator="equal">
      <formula>"Vencido"</formula>
    </cfRule>
  </conditionalFormatting>
  <conditionalFormatting sqref="N247:N280">
    <cfRule type="cellIs" dxfId="6" priority="9" stopIfTrue="1" operator="equal">
      <formula>"Em Uso"</formula>
    </cfRule>
    <cfRule type="cellIs" dxfId="5" priority="10" stopIfTrue="1" operator="equal">
      <formula>"Sol. Cal."</formula>
    </cfRule>
    <cfRule type="cellIs" dxfId="4" priority="11" stopIfTrue="1" operator="equal">
      <formula>"Vencido"</formula>
    </cfRule>
  </conditionalFormatting>
  <printOptions horizontalCentered="1"/>
  <pageMargins left="0.25" right="0.25" top="0.75" bottom="0.75" header="0.3" footer="0.3"/>
  <pageSetup paperSize="9" scale="75" fitToWidth="0" fitToHeight="0" orientation="landscape" horizontalDpi="300" verticalDpi="300" r:id="rId4"/>
  <headerFooter alignWithMargins="0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51AE-7D10-4EDF-BFAF-0B3C4C04DDD7}">
  <dimension ref="A1:H39"/>
  <sheetViews>
    <sheetView workbookViewId="0">
      <selection activeCell="J37" sqref="J37"/>
    </sheetView>
  </sheetViews>
  <sheetFormatPr defaultRowHeight="12.5" x14ac:dyDescent="0.25"/>
  <cols>
    <col min="1" max="1" width="40.1796875" bestFit="1" customWidth="1"/>
    <col min="2" max="2" width="104.81640625" bestFit="1" customWidth="1"/>
  </cols>
  <sheetData>
    <row r="1" spans="1:2" ht="18" x14ac:dyDescent="0.25">
      <c r="A1" s="259" t="s">
        <v>340</v>
      </c>
      <c r="B1" s="259" t="s">
        <v>341</v>
      </c>
    </row>
    <row r="2" spans="1:2" ht="13" x14ac:dyDescent="0.25">
      <c r="A2" s="260" t="s">
        <v>82</v>
      </c>
      <c r="B2" s="261" t="s">
        <v>342</v>
      </c>
    </row>
    <row r="3" spans="1:2" x14ac:dyDescent="0.25">
      <c r="A3" s="262" t="s">
        <v>96</v>
      </c>
      <c r="B3" s="261" t="s">
        <v>343</v>
      </c>
    </row>
    <row r="4" spans="1:2" ht="13" x14ac:dyDescent="0.3">
      <c r="A4" s="29" t="s">
        <v>101</v>
      </c>
      <c r="B4" s="261" t="s">
        <v>344</v>
      </c>
    </row>
    <row r="5" spans="1:2" ht="13" x14ac:dyDescent="0.3">
      <c r="A5" s="29" t="s">
        <v>103</v>
      </c>
      <c r="B5" s="261" t="s">
        <v>345</v>
      </c>
    </row>
    <row r="6" spans="1:2" ht="13" x14ac:dyDescent="0.3">
      <c r="A6" s="29" t="s">
        <v>106</v>
      </c>
      <c r="B6" s="261" t="s">
        <v>346</v>
      </c>
    </row>
    <row r="7" spans="1:2" ht="13" x14ac:dyDescent="0.3">
      <c r="A7" s="26" t="s">
        <v>108</v>
      </c>
      <c r="B7" s="261" t="s">
        <v>347</v>
      </c>
    </row>
    <row r="8" spans="1:2" ht="13" x14ac:dyDescent="0.3">
      <c r="A8" s="29" t="s">
        <v>110</v>
      </c>
      <c r="B8" s="261" t="s">
        <v>348</v>
      </c>
    </row>
    <row r="9" spans="1:2" ht="13" x14ac:dyDescent="0.3">
      <c r="A9" s="29" t="s">
        <v>112</v>
      </c>
      <c r="B9" s="261" t="s">
        <v>349</v>
      </c>
    </row>
    <row r="10" spans="1:2" ht="13" x14ac:dyDescent="0.3">
      <c r="A10" s="26" t="s">
        <v>114</v>
      </c>
      <c r="B10" s="263" t="s">
        <v>350</v>
      </c>
    </row>
    <row r="11" spans="1:2" ht="13" x14ac:dyDescent="0.3">
      <c r="A11" s="26" t="s">
        <v>116</v>
      </c>
      <c r="B11" s="261" t="s">
        <v>351</v>
      </c>
    </row>
    <row r="12" spans="1:2" ht="13" x14ac:dyDescent="0.3">
      <c r="A12" s="29" t="s">
        <v>130</v>
      </c>
      <c r="B12" s="261" t="s">
        <v>352</v>
      </c>
    </row>
    <row r="13" spans="1:2" ht="13" x14ac:dyDescent="0.3">
      <c r="A13" s="29" t="s">
        <v>147</v>
      </c>
      <c r="B13" s="261" t="s">
        <v>353</v>
      </c>
    </row>
    <row r="14" spans="1:2" ht="13" x14ac:dyDescent="0.3">
      <c r="A14" s="29" t="s">
        <v>154</v>
      </c>
      <c r="B14" s="261" t="s">
        <v>354</v>
      </c>
    </row>
    <row r="15" spans="1:2" ht="13" x14ac:dyDescent="0.3">
      <c r="A15" s="29" t="s">
        <v>163</v>
      </c>
      <c r="B15" s="261" t="s">
        <v>355</v>
      </c>
    </row>
    <row r="16" spans="1:2" ht="13" x14ac:dyDescent="0.3">
      <c r="A16" s="29" t="s">
        <v>335</v>
      </c>
      <c r="B16" s="261"/>
    </row>
    <row r="17" spans="1:8" ht="13" x14ac:dyDescent="0.3">
      <c r="A17" s="26" t="s">
        <v>356</v>
      </c>
      <c r="B17" s="261">
        <v>238.5</v>
      </c>
    </row>
    <row r="18" spans="1:8" ht="13" x14ac:dyDescent="0.3">
      <c r="A18" s="26" t="s">
        <v>357</v>
      </c>
      <c r="B18" s="261" t="s">
        <v>358</v>
      </c>
      <c r="C18" t="s">
        <v>359</v>
      </c>
    </row>
    <row r="19" spans="1:8" ht="37.5" x14ac:dyDescent="0.25">
      <c r="A19" s="265" t="s">
        <v>171</v>
      </c>
      <c r="B19" s="264" t="s">
        <v>360</v>
      </c>
    </row>
    <row r="20" spans="1:8" ht="13" x14ac:dyDescent="0.3">
      <c r="A20" s="29" t="s">
        <v>175</v>
      </c>
      <c r="B20" s="261" t="s">
        <v>361</v>
      </c>
    </row>
    <row r="21" spans="1:8" ht="13" x14ac:dyDescent="0.3">
      <c r="A21" s="29" t="s">
        <v>187</v>
      </c>
      <c r="B21" s="261" t="s">
        <v>362</v>
      </c>
    </row>
    <row r="22" spans="1:8" ht="13" x14ac:dyDescent="0.3">
      <c r="A22" s="29" t="s">
        <v>222</v>
      </c>
      <c r="B22" s="261" t="s">
        <v>363</v>
      </c>
    </row>
    <row r="23" spans="1:8" ht="13" x14ac:dyDescent="0.3">
      <c r="A23" s="29" t="s">
        <v>223</v>
      </c>
      <c r="B23" s="261" t="s">
        <v>364</v>
      </c>
    </row>
    <row r="24" spans="1:8" ht="13" x14ac:dyDescent="0.3">
      <c r="A24" s="29" t="s">
        <v>232</v>
      </c>
      <c r="B24" s="261" t="s">
        <v>365</v>
      </c>
    </row>
    <row r="25" spans="1:8" ht="13" x14ac:dyDescent="0.3">
      <c r="A25" s="29" t="s">
        <v>233</v>
      </c>
      <c r="B25" s="261" t="s">
        <v>366</v>
      </c>
    </row>
    <row r="26" spans="1:8" ht="13" x14ac:dyDescent="0.3">
      <c r="A26" s="29" t="s">
        <v>234</v>
      </c>
      <c r="B26" s="261" t="s">
        <v>367</v>
      </c>
    </row>
    <row r="27" spans="1:8" ht="13" x14ac:dyDescent="0.3">
      <c r="A27" s="29" t="s">
        <v>239</v>
      </c>
      <c r="B27" s="261" t="s">
        <v>368</v>
      </c>
    </row>
    <row r="28" spans="1:8" ht="13" x14ac:dyDescent="0.3">
      <c r="A28" s="29" t="s">
        <v>243</v>
      </c>
      <c r="B28" s="261" t="s">
        <v>369</v>
      </c>
    </row>
    <row r="29" spans="1:8" ht="13" x14ac:dyDescent="0.3">
      <c r="A29" s="26" t="s">
        <v>247</v>
      </c>
      <c r="B29" s="261" t="s">
        <v>370</v>
      </c>
      <c r="E29" s="359" t="s">
        <v>371</v>
      </c>
      <c r="F29" s="359"/>
      <c r="G29" s="359"/>
      <c r="H29" s="359"/>
    </row>
    <row r="31" spans="1:8" x14ac:dyDescent="0.25">
      <c r="E31" t="s">
        <v>372</v>
      </c>
      <c r="F31" t="s">
        <v>373</v>
      </c>
    </row>
    <row r="32" spans="1:8" ht="15.5" x14ac:dyDescent="0.35">
      <c r="E32" s="356" t="s">
        <v>374</v>
      </c>
      <c r="F32" t="s">
        <v>375</v>
      </c>
    </row>
    <row r="33" spans="5:6" ht="15.5" x14ac:dyDescent="0.35">
      <c r="E33" s="356" t="s">
        <v>376</v>
      </c>
      <c r="F33" t="s">
        <v>375</v>
      </c>
    </row>
    <row r="34" spans="5:6" ht="15.5" x14ac:dyDescent="0.35">
      <c r="E34" s="356" t="s">
        <v>377</v>
      </c>
      <c r="F34" t="s">
        <v>375</v>
      </c>
    </row>
    <row r="35" spans="5:6" ht="15.5" x14ac:dyDescent="0.35">
      <c r="E35" s="356" t="s">
        <v>378</v>
      </c>
      <c r="F35" t="s">
        <v>375</v>
      </c>
    </row>
    <row r="36" spans="5:6" ht="15.5" x14ac:dyDescent="0.35">
      <c r="E36" s="356" t="s">
        <v>379</v>
      </c>
    </row>
    <row r="37" spans="5:6" ht="15.5" x14ac:dyDescent="0.35">
      <c r="E37" s="356"/>
    </row>
    <row r="38" spans="5:6" ht="15.5" x14ac:dyDescent="0.35">
      <c r="E38" s="356"/>
    </row>
    <row r="39" spans="5:6" ht="15.5" x14ac:dyDescent="0.35">
      <c r="E39" s="356"/>
    </row>
  </sheetData>
  <autoFilter ref="A1:B29" xr:uid="{A4A751AE-7D10-4EDF-BFAF-0B3C4C04DDD7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3B54-2F09-4991-8641-61087A5FA73B}">
  <dimension ref="A1:N21"/>
  <sheetViews>
    <sheetView workbookViewId="0"/>
  </sheetViews>
  <sheetFormatPr defaultRowHeight="12.5" x14ac:dyDescent="0.25"/>
  <cols>
    <col min="1" max="1" width="6.1796875" bestFit="1" customWidth="1"/>
    <col min="4" max="4" width="20" bestFit="1" customWidth="1"/>
    <col min="5" max="5" width="8.54296875" bestFit="1" customWidth="1"/>
    <col min="7" max="7" width="27.453125" bestFit="1" customWidth="1"/>
  </cols>
  <sheetData>
    <row r="1" spans="1:14" ht="13.5" thickTop="1" x14ac:dyDescent="0.3">
      <c r="A1" s="47" t="s">
        <v>3</v>
      </c>
      <c r="B1" s="47" t="s">
        <v>4</v>
      </c>
      <c r="C1" s="49" t="s">
        <v>5</v>
      </c>
      <c r="D1" s="51" t="s">
        <v>6</v>
      </c>
      <c r="E1" s="52" t="s">
        <v>7</v>
      </c>
      <c r="F1" s="50" t="s">
        <v>8</v>
      </c>
      <c r="G1" s="51" t="s">
        <v>9</v>
      </c>
      <c r="H1" s="52" t="s">
        <v>10</v>
      </c>
      <c r="I1" s="52" t="s">
        <v>11</v>
      </c>
      <c r="J1" s="77" t="s">
        <v>12</v>
      </c>
      <c r="K1" s="52" t="s">
        <v>13</v>
      </c>
      <c r="L1" s="52" t="s">
        <v>14</v>
      </c>
      <c r="M1" s="52" t="s">
        <v>15</v>
      </c>
      <c r="N1" s="52" t="s">
        <v>16</v>
      </c>
    </row>
    <row r="2" spans="1:14" ht="13" x14ac:dyDescent="0.3">
      <c r="A2" s="7">
        <v>138</v>
      </c>
      <c r="B2" s="40">
        <v>12014962</v>
      </c>
      <c r="C2" s="7">
        <v>59104</v>
      </c>
      <c r="D2" s="62">
        <v>223090000104</v>
      </c>
      <c r="E2" s="26">
        <v>90303100</v>
      </c>
      <c r="F2" s="7">
        <v>14850387</v>
      </c>
      <c r="G2" s="29" t="s">
        <v>171</v>
      </c>
      <c r="H2" s="116" t="s">
        <v>29</v>
      </c>
      <c r="I2" s="40" t="s">
        <v>21</v>
      </c>
      <c r="J2" s="25" t="s">
        <v>90</v>
      </c>
      <c r="K2" s="7" t="s">
        <v>23</v>
      </c>
      <c r="L2" s="140">
        <v>44945</v>
      </c>
      <c r="M2" s="141">
        <v>45675</v>
      </c>
      <c r="N2" s="24" t="s">
        <v>380</v>
      </c>
    </row>
    <row r="3" spans="1:14" ht="13.5" thickBot="1" x14ac:dyDescent="0.35">
      <c r="A3" s="7">
        <v>140</v>
      </c>
      <c r="B3" s="171">
        <v>12014307</v>
      </c>
      <c r="C3" s="170">
        <v>59101</v>
      </c>
      <c r="D3" s="201">
        <v>223090000104</v>
      </c>
      <c r="E3" s="172">
        <v>90303100</v>
      </c>
      <c r="F3" s="170">
        <v>51400243</v>
      </c>
      <c r="G3" s="189" t="s">
        <v>171</v>
      </c>
      <c r="H3" s="198" t="s">
        <v>270</v>
      </c>
      <c r="I3" s="206" t="s">
        <v>262</v>
      </c>
      <c r="J3" s="174" t="s">
        <v>90</v>
      </c>
      <c r="K3" s="170" t="s">
        <v>23</v>
      </c>
      <c r="L3" s="202">
        <v>44925</v>
      </c>
      <c r="M3" s="203">
        <v>45655</v>
      </c>
      <c r="N3" s="24" t="s">
        <v>381</v>
      </c>
    </row>
    <row r="4" spans="1:14" ht="13" x14ac:dyDescent="0.3">
      <c r="A4" s="7">
        <v>149</v>
      </c>
      <c r="B4" s="91">
        <v>12014316</v>
      </c>
      <c r="C4" s="18">
        <v>59111</v>
      </c>
      <c r="D4" s="27">
        <v>70000310</v>
      </c>
      <c r="E4" s="27">
        <v>84239010</v>
      </c>
      <c r="F4" s="18">
        <v>842</v>
      </c>
      <c r="G4" s="110" t="s">
        <v>188</v>
      </c>
      <c r="H4" s="104" t="s">
        <v>270</v>
      </c>
      <c r="I4" s="41" t="s">
        <v>262</v>
      </c>
      <c r="J4" s="92" t="s">
        <v>90</v>
      </c>
      <c r="K4" s="18" t="s">
        <v>91</v>
      </c>
      <c r="L4" s="145">
        <v>44603</v>
      </c>
      <c r="M4" s="146">
        <v>45699</v>
      </c>
      <c r="N4" s="24" t="s">
        <v>380</v>
      </c>
    </row>
    <row r="5" spans="1:14" ht="13" x14ac:dyDescent="0.3">
      <c r="A5" s="7">
        <v>150</v>
      </c>
      <c r="B5" s="40">
        <v>12014318</v>
      </c>
      <c r="C5" s="7">
        <v>59113</v>
      </c>
      <c r="D5" s="26">
        <v>70000310</v>
      </c>
      <c r="E5" s="26">
        <v>84239010</v>
      </c>
      <c r="F5" s="7" t="s">
        <v>189</v>
      </c>
      <c r="G5" s="29" t="s">
        <v>193</v>
      </c>
      <c r="H5" s="112" t="s">
        <v>30</v>
      </c>
      <c r="I5" s="40" t="s">
        <v>21</v>
      </c>
      <c r="J5" s="25" t="s">
        <v>90</v>
      </c>
      <c r="K5" s="7" t="s">
        <v>91</v>
      </c>
      <c r="L5" s="140">
        <v>44603</v>
      </c>
      <c r="M5" s="148">
        <v>45699</v>
      </c>
      <c r="N5" s="24" t="s">
        <v>380</v>
      </c>
    </row>
    <row r="6" spans="1:14" ht="13" x14ac:dyDescent="0.3">
      <c r="A6" s="7">
        <v>154</v>
      </c>
      <c r="B6" s="91">
        <v>12014177</v>
      </c>
      <c r="C6" s="18">
        <v>59114</v>
      </c>
      <c r="D6" s="27" t="s">
        <v>198</v>
      </c>
      <c r="E6" s="27">
        <v>84239010</v>
      </c>
      <c r="F6" s="18" t="s">
        <v>199</v>
      </c>
      <c r="G6" s="110" t="s">
        <v>202</v>
      </c>
      <c r="H6" s="106" t="s">
        <v>30</v>
      </c>
      <c r="I6" s="91" t="s">
        <v>21</v>
      </c>
      <c r="J6" s="92" t="s">
        <v>90</v>
      </c>
      <c r="K6" s="18" t="s">
        <v>91</v>
      </c>
      <c r="L6" s="143">
        <v>44602</v>
      </c>
      <c r="M6" s="146">
        <v>45698</v>
      </c>
      <c r="N6" s="24" t="s">
        <v>380</v>
      </c>
    </row>
    <row r="7" spans="1:14" ht="13" x14ac:dyDescent="0.3">
      <c r="A7" s="7">
        <v>156</v>
      </c>
      <c r="B7" s="40">
        <v>12014319</v>
      </c>
      <c r="C7" s="7">
        <v>59115</v>
      </c>
      <c r="D7" s="26" t="s">
        <v>198</v>
      </c>
      <c r="E7" s="26">
        <v>84239010</v>
      </c>
      <c r="F7" s="7">
        <v>508</v>
      </c>
      <c r="G7" s="29" t="s">
        <v>202</v>
      </c>
      <c r="H7" s="111" t="s">
        <v>270</v>
      </c>
      <c r="I7" s="40" t="s">
        <v>262</v>
      </c>
      <c r="J7" s="25" t="s">
        <v>90</v>
      </c>
      <c r="K7" s="7" t="s">
        <v>91</v>
      </c>
      <c r="L7" s="147">
        <v>44602</v>
      </c>
      <c r="M7" s="148">
        <v>45698</v>
      </c>
      <c r="N7" s="24" t="s">
        <v>380</v>
      </c>
    </row>
    <row r="8" spans="1:14" ht="13" x14ac:dyDescent="0.3">
      <c r="A8" s="7">
        <v>186</v>
      </c>
      <c r="B8" s="40">
        <v>12014335</v>
      </c>
      <c r="C8" s="7">
        <v>59131</v>
      </c>
      <c r="D8" s="62">
        <v>49242</v>
      </c>
      <c r="E8" s="62">
        <v>90292010</v>
      </c>
      <c r="F8" s="7" t="s">
        <v>240</v>
      </c>
      <c r="G8" s="26" t="s">
        <v>239</v>
      </c>
      <c r="H8" s="40" t="s">
        <v>131</v>
      </c>
      <c r="I8" s="40" t="s">
        <v>21</v>
      </c>
      <c r="J8" s="25" t="s">
        <v>90</v>
      </c>
      <c r="K8" s="7" t="s">
        <v>23</v>
      </c>
      <c r="L8" s="140">
        <v>44179</v>
      </c>
      <c r="M8" s="141">
        <v>44909</v>
      </c>
      <c r="N8" s="24" t="s">
        <v>381</v>
      </c>
    </row>
    <row r="9" spans="1:14" ht="13" x14ac:dyDescent="0.3">
      <c r="A9" s="7">
        <v>187</v>
      </c>
      <c r="B9" s="40">
        <v>12015978</v>
      </c>
      <c r="C9" s="7">
        <v>61811</v>
      </c>
      <c r="D9" s="62" t="s">
        <v>382</v>
      </c>
      <c r="E9" s="62">
        <v>90292010</v>
      </c>
      <c r="F9" s="7" t="s">
        <v>241</v>
      </c>
      <c r="G9" s="26" t="s">
        <v>239</v>
      </c>
      <c r="H9" s="112" t="s">
        <v>30</v>
      </c>
      <c r="I9" s="40" t="s">
        <v>21</v>
      </c>
      <c r="J9" s="25" t="s">
        <v>90</v>
      </c>
      <c r="K9" s="7" t="s">
        <v>23</v>
      </c>
      <c r="L9" s="140">
        <v>44946</v>
      </c>
      <c r="M9" s="141">
        <v>45676</v>
      </c>
      <c r="N9" s="24" t="s">
        <v>380</v>
      </c>
    </row>
    <row r="10" spans="1:14" ht="13" x14ac:dyDescent="0.3">
      <c r="A10" s="7">
        <v>188</v>
      </c>
      <c r="B10" s="40">
        <v>12015979</v>
      </c>
      <c r="C10" s="7">
        <v>61812</v>
      </c>
      <c r="D10" s="62" t="s">
        <v>382</v>
      </c>
      <c r="E10" s="62">
        <v>90292010</v>
      </c>
      <c r="F10" s="7" t="s">
        <v>242</v>
      </c>
      <c r="G10" s="26" t="s">
        <v>239</v>
      </c>
      <c r="H10" s="116" t="s">
        <v>29</v>
      </c>
      <c r="I10" s="40" t="s">
        <v>21</v>
      </c>
      <c r="J10" s="25" t="s">
        <v>90</v>
      </c>
      <c r="K10" s="7" t="s">
        <v>23</v>
      </c>
      <c r="L10" s="140">
        <v>44946</v>
      </c>
      <c r="M10" s="141">
        <v>45676</v>
      </c>
      <c r="N10" s="24" t="s">
        <v>380</v>
      </c>
    </row>
    <row r="11" spans="1:14" ht="13" x14ac:dyDescent="0.3">
      <c r="A11" s="7">
        <v>119</v>
      </c>
      <c r="B11" s="40">
        <v>12015981</v>
      </c>
      <c r="C11" s="7">
        <v>61809</v>
      </c>
      <c r="D11" s="26" t="s">
        <v>145</v>
      </c>
      <c r="E11" s="26">
        <v>90172000</v>
      </c>
      <c r="F11" s="7">
        <v>156021</v>
      </c>
      <c r="G11" s="29" t="s">
        <v>147</v>
      </c>
      <c r="H11" s="111" t="s">
        <v>270</v>
      </c>
      <c r="I11" s="42" t="s">
        <v>262</v>
      </c>
      <c r="J11" s="25" t="s">
        <v>56</v>
      </c>
      <c r="K11" s="7" t="s">
        <v>23</v>
      </c>
      <c r="L11" s="140">
        <v>44974</v>
      </c>
      <c r="M11" s="141">
        <v>45705</v>
      </c>
      <c r="N11" s="24" t="s">
        <v>383</v>
      </c>
    </row>
    <row r="12" spans="1:14" ht="13.5" thickBot="1" x14ac:dyDescent="0.35">
      <c r="A12" s="7">
        <v>120</v>
      </c>
      <c r="B12" s="171">
        <v>12015980</v>
      </c>
      <c r="C12" s="170">
        <v>61810</v>
      </c>
      <c r="D12" s="172" t="s">
        <v>145</v>
      </c>
      <c r="E12" s="172">
        <v>90172000</v>
      </c>
      <c r="F12" s="170">
        <v>156028</v>
      </c>
      <c r="G12" s="189" t="s">
        <v>147</v>
      </c>
      <c r="H12" s="173" t="s">
        <v>30</v>
      </c>
      <c r="I12" s="171" t="s">
        <v>21</v>
      </c>
      <c r="J12" s="174" t="s">
        <v>56</v>
      </c>
      <c r="K12" s="170" t="s">
        <v>23</v>
      </c>
      <c r="L12" s="175">
        <v>44974</v>
      </c>
      <c r="M12" s="176">
        <v>45704</v>
      </c>
      <c r="N12" s="177" t="s">
        <v>383</v>
      </c>
    </row>
    <row r="13" spans="1:14" ht="13" x14ac:dyDescent="0.3">
      <c r="A13" s="7">
        <v>143</v>
      </c>
      <c r="B13" s="40">
        <v>12014311</v>
      </c>
      <c r="C13" s="15">
        <v>59105</v>
      </c>
      <c r="D13" s="63" t="s">
        <v>178</v>
      </c>
      <c r="E13" s="35">
        <v>90173020</v>
      </c>
      <c r="F13" s="15" t="s">
        <v>179</v>
      </c>
      <c r="G13" s="33" t="s">
        <v>180</v>
      </c>
      <c r="H13" s="111" t="s">
        <v>270</v>
      </c>
      <c r="I13" s="42" t="s">
        <v>262</v>
      </c>
      <c r="J13" s="25" t="s">
        <v>56</v>
      </c>
      <c r="K13" s="7" t="s">
        <v>84</v>
      </c>
      <c r="L13" s="147">
        <v>45274</v>
      </c>
      <c r="M13" s="148">
        <v>45639</v>
      </c>
      <c r="N13" s="24" t="s">
        <v>381</v>
      </c>
    </row>
    <row r="14" spans="1:14" ht="13" x14ac:dyDescent="0.3">
      <c r="A14" s="7">
        <v>144</v>
      </c>
      <c r="B14" s="40">
        <v>12014312</v>
      </c>
      <c r="C14" s="7">
        <v>59106</v>
      </c>
      <c r="D14" s="62" t="s">
        <v>178</v>
      </c>
      <c r="E14" s="26">
        <v>90173020</v>
      </c>
      <c r="F14" s="7" t="s">
        <v>181</v>
      </c>
      <c r="G14" s="29" t="s">
        <v>175</v>
      </c>
      <c r="H14" s="163" t="s">
        <v>28</v>
      </c>
      <c r="I14" s="42" t="s">
        <v>152</v>
      </c>
      <c r="J14" s="25" t="s">
        <v>56</v>
      </c>
      <c r="K14" s="7" t="s">
        <v>84</v>
      </c>
      <c r="L14" s="140">
        <v>45274</v>
      </c>
      <c r="M14" s="141">
        <v>45639</v>
      </c>
      <c r="N14" s="24" t="s">
        <v>381</v>
      </c>
    </row>
    <row r="15" spans="1:14" ht="13" x14ac:dyDescent="0.3">
      <c r="A15" s="7">
        <v>147</v>
      </c>
      <c r="B15" s="40">
        <v>12020291</v>
      </c>
      <c r="C15" s="7"/>
      <c r="D15" s="62" t="s">
        <v>178</v>
      </c>
      <c r="E15" s="26">
        <v>90173020</v>
      </c>
      <c r="F15" s="7">
        <v>18942205</v>
      </c>
      <c r="G15" s="29" t="s">
        <v>183</v>
      </c>
      <c r="H15" s="112" t="s">
        <v>30</v>
      </c>
      <c r="I15" s="40" t="s">
        <v>21</v>
      </c>
      <c r="J15" s="25" t="s">
        <v>56</v>
      </c>
      <c r="K15" s="7" t="s">
        <v>84</v>
      </c>
      <c r="L15" s="140">
        <v>45274</v>
      </c>
      <c r="M15" s="141">
        <f>L15+365</f>
        <v>45639</v>
      </c>
      <c r="N15" s="24" t="str">
        <f ca="1">IF((TODAY())&gt;M15,"Vencido",IF(M15-(TODAY())&lt;=120,"Sol. Cal.",IF(M15&gt;(TODAY())+120,"Em Uso")))</f>
        <v>Vencido</v>
      </c>
    </row>
    <row r="16" spans="1:14" ht="13" x14ac:dyDescent="0.3">
      <c r="A16" s="7">
        <v>171</v>
      </c>
      <c r="B16" s="40">
        <v>12014351</v>
      </c>
      <c r="C16" s="7"/>
      <c r="D16" s="26" t="s">
        <v>384</v>
      </c>
      <c r="E16" s="26">
        <v>90318099</v>
      </c>
      <c r="F16" s="7">
        <v>2140238</v>
      </c>
      <c r="G16" s="29" t="s">
        <v>222</v>
      </c>
      <c r="H16" s="112" t="s">
        <v>30</v>
      </c>
      <c r="I16" s="40" t="s">
        <v>21</v>
      </c>
      <c r="J16" s="25" t="s">
        <v>56</v>
      </c>
      <c r="K16" s="7" t="s">
        <v>23</v>
      </c>
      <c r="L16" s="140">
        <v>44945</v>
      </c>
      <c r="M16" s="141">
        <v>45675</v>
      </c>
      <c r="N16" s="24" t="s">
        <v>383</v>
      </c>
    </row>
    <row r="17" spans="1:14" ht="13" x14ac:dyDescent="0.3">
      <c r="A17" s="7">
        <v>172</v>
      </c>
      <c r="B17" s="40">
        <v>12014352</v>
      </c>
      <c r="C17" s="7"/>
      <c r="D17" s="26" t="s">
        <v>385</v>
      </c>
      <c r="E17" s="26">
        <v>90318101</v>
      </c>
      <c r="F17" s="7">
        <v>2140240</v>
      </c>
      <c r="G17" s="29" t="s">
        <v>222</v>
      </c>
      <c r="H17" s="111" t="s">
        <v>270</v>
      </c>
      <c r="I17" s="42" t="s">
        <v>262</v>
      </c>
      <c r="J17" s="25" t="s">
        <v>56</v>
      </c>
      <c r="K17" s="7" t="s">
        <v>23</v>
      </c>
      <c r="L17" s="140">
        <v>44924</v>
      </c>
      <c r="M17" s="141">
        <v>45654</v>
      </c>
      <c r="N17" s="24" t="s">
        <v>381</v>
      </c>
    </row>
    <row r="18" spans="1:14" ht="13" x14ac:dyDescent="0.3">
      <c r="A18" s="7">
        <v>173</v>
      </c>
      <c r="B18" s="40">
        <v>12019051</v>
      </c>
      <c r="C18" s="7"/>
      <c r="D18" s="62">
        <v>1101830000042</v>
      </c>
      <c r="E18" s="26">
        <v>90318099</v>
      </c>
      <c r="F18" s="7">
        <v>71091356</v>
      </c>
      <c r="G18" s="29" t="s">
        <v>223</v>
      </c>
      <c r="H18" s="158" t="s">
        <v>20</v>
      </c>
      <c r="I18" s="40" t="s">
        <v>21</v>
      </c>
      <c r="J18" s="25" t="s">
        <v>56</v>
      </c>
      <c r="K18" s="7" t="s">
        <v>23</v>
      </c>
      <c r="L18" s="140">
        <v>44915</v>
      </c>
      <c r="M18" s="141">
        <v>45645</v>
      </c>
      <c r="N18" s="168" t="s">
        <v>381</v>
      </c>
    </row>
    <row r="19" spans="1:14" ht="13" x14ac:dyDescent="0.3">
      <c r="A19" s="7">
        <v>175</v>
      </c>
      <c r="B19" s="40">
        <v>12035255</v>
      </c>
      <c r="C19" s="7"/>
      <c r="D19" s="62" t="s">
        <v>224</v>
      </c>
      <c r="E19" s="26">
        <v>90318099</v>
      </c>
      <c r="F19" s="7">
        <v>4337660</v>
      </c>
      <c r="G19" s="29" t="s">
        <v>223</v>
      </c>
      <c r="H19" s="161" t="s">
        <v>28</v>
      </c>
      <c r="I19" s="40" t="s">
        <v>21</v>
      </c>
      <c r="J19" s="25" t="s">
        <v>56</v>
      </c>
      <c r="K19" s="7" t="s">
        <v>23</v>
      </c>
      <c r="L19" s="140"/>
      <c r="M19" s="141">
        <v>731</v>
      </c>
      <c r="N19" s="24" t="s">
        <v>381</v>
      </c>
    </row>
    <row r="20" spans="1:14" ht="13" x14ac:dyDescent="0.3">
      <c r="A20" s="7">
        <v>176</v>
      </c>
      <c r="B20" s="40">
        <v>12014359</v>
      </c>
      <c r="C20" s="7"/>
      <c r="D20" s="62" t="s">
        <v>224</v>
      </c>
      <c r="E20" s="26">
        <v>90318099</v>
      </c>
      <c r="F20" s="7" t="s">
        <v>386</v>
      </c>
      <c r="G20" s="29" t="s">
        <v>223</v>
      </c>
      <c r="H20" s="111" t="s">
        <v>270</v>
      </c>
      <c r="I20" s="42" t="s">
        <v>262</v>
      </c>
      <c r="J20" s="25" t="s">
        <v>56</v>
      </c>
      <c r="K20" s="7" t="s">
        <v>23</v>
      </c>
      <c r="L20" s="147">
        <v>44924</v>
      </c>
      <c r="M20" s="141">
        <v>45654</v>
      </c>
      <c r="N20" s="24" t="s">
        <v>381</v>
      </c>
    </row>
    <row r="21" spans="1:14" ht="13.5" thickBot="1" x14ac:dyDescent="0.35">
      <c r="A21" s="7">
        <v>177</v>
      </c>
      <c r="B21" s="171">
        <v>12016002</v>
      </c>
      <c r="C21" s="170">
        <v>61806</v>
      </c>
      <c r="D21" s="201" t="s">
        <v>224</v>
      </c>
      <c r="E21" s="172">
        <v>90318099</v>
      </c>
      <c r="F21" s="170">
        <v>61030946</v>
      </c>
      <c r="G21" s="189" t="s">
        <v>223</v>
      </c>
      <c r="H21" s="173" t="s">
        <v>30</v>
      </c>
      <c r="I21" s="171" t="s">
        <v>21</v>
      </c>
      <c r="J21" s="174" t="s">
        <v>56</v>
      </c>
      <c r="K21" s="170" t="s">
        <v>23</v>
      </c>
      <c r="L21" s="175">
        <v>44946</v>
      </c>
      <c r="M21" s="176">
        <v>45676</v>
      </c>
      <c r="N21" s="177" t="s">
        <v>383</v>
      </c>
    </row>
  </sheetData>
  <conditionalFormatting sqref="N2:N10">
    <cfRule type="cellIs" dxfId="3" priority="1" stopIfTrue="1" operator="equal">
      <formula>"Sol. Cal. Urgen."</formula>
    </cfRule>
  </conditionalFormatting>
  <conditionalFormatting sqref="N2:N21">
    <cfRule type="cellIs" dxfId="2" priority="2" stopIfTrue="1" operator="equal">
      <formula>"Em Uso"</formula>
    </cfRule>
    <cfRule type="cellIs" dxfId="1" priority="3" stopIfTrue="1" operator="equal">
      <formula>"Sol. Cal."</formula>
    </cfRule>
    <cfRule type="cellIs" dxfId="0" priority="4" stopIfTrue="1" operator="equal">
      <formula>"Vencido"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D4C38AA931E4D9680B9EC40A2229B" ma:contentTypeVersion="16" ma:contentTypeDescription="Create a new document." ma:contentTypeScope="" ma:versionID="2bb20be0fc717eab618db1ef0002fb13">
  <xsd:schema xmlns:xsd="http://www.w3.org/2001/XMLSchema" xmlns:xs="http://www.w3.org/2001/XMLSchema" xmlns:p="http://schemas.microsoft.com/office/2006/metadata/properties" xmlns:ns2="5099ff41-7a86-46c9-be89-1594ab5d68b8" xmlns:ns3="dc17447d-61eb-46a0-8fdb-12c42058127c" targetNamespace="http://schemas.microsoft.com/office/2006/metadata/properties" ma:root="true" ma:fieldsID="ddd27690612ae5ae074868629d0ae288" ns2:_="" ns3:_="">
    <xsd:import namespace="5099ff41-7a86-46c9-be89-1594ab5d68b8"/>
    <xsd:import namespace="dc17447d-61eb-46a0-8fdb-12c4205812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OI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ff41-7a86-46c9-be89-1594ab5d68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OIs" ma:index="23" nillable="true" ma:displayName="OIs" ma:description="A8023641324&#10;A8023741324&#10;A8023541324" ma:format="Dropdown" ma:internalName="OI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7447d-61eb-46a0-8fdb-12c4205812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0266322-6b85-4550-a12c-1d5f081247e8}" ma:internalName="TaxCatchAll" ma:showField="CatchAllData" ma:web="dc17447d-61eb-46a0-8fdb-12c420581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9ff41-7a86-46c9-be89-1594ab5d68b8">
      <Terms xmlns="http://schemas.microsoft.com/office/infopath/2007/PartnerControls"/>
    </lcf76f155ced4ddcb4097134ff3c332f>
    <TaxCatchAll xmlns="dc17447d-61eb-46a0-8fdb-12c42058127c" xsi:nil="true"/>
    <OIs xmlns="5099ff41-7a86-46c9-be89-1594ab5d68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F81763-2B44-4038-B717-2836CB5D85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9ff41-7a86-46c9-be89-1594ab5d68b8"/>
    <ds:schemaRef ds:uri="dc17447d-61eb-46a0-8fdb-12c4205812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F65B94-46B1-43B1-B968-7165ADA28AA3}">
  <ds:schemaRefs>
    <ds:schemaRef ds:uri="http://schemas.microsoft.com/office/2006/metadata/properties"/>
    <ds:schemaRef ds:uri="http://schemas.microsoft.com/office/infopath/2007/PartnerControls"/>
    <ds:schemaRef ds:uri="5099ff41-7a86-46c9-be89-1594ab5d68b8"/>
    <ds:schemaRef ds:uri="dc17447d-61eb-46a0-8fdb-12c42058127c"/>
  </ds:schemaRefs>
</ds:datastoreItem>
</file>

<file path=customXml/itemProps3.xml><?xml version="1.0" encoding="utf-8"?>
<ds:datastoreItem xmlns:ds="http://schemas.openxmlformats.org/officeDocument/2006/customXml" ds:itemID="{7DDAC387-EF90-4E58-93BC-8082EA2E1AF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Controle de padrões geral</vt:lpstr>
      <vt:lpstr>Faixas de calibração</vt:lpstr>
      <vt:lpstr>Planilha1</vt:lpstr>
      <vt:lpstr>'Controle de padrões geral'!Area_de_impressao</vt:lpstr>
    </vt:vector>
  </TitlesOfParts>
  <Manager/>
  <Company>L&amp;W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Midiam</dc:creator>
  <cp:keywords/>
  <dc:description/>
  <cp:lastModifiedBy>Adauto Pereira</cp:lastModifiedBy>
  <cp:revision/>
  <dcterms:created xsi:type="dcterms:W3CDTF">1999-09-10T13:22:57Z</dcterms:created>
  <dcterms:modified xsi:type="dcterms:W3CDTF">2026-08-24T11:36:41Z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0x0101000B3D4C38AA931E4D9680B9EC40A2229B</vt:lpwstr>
  </property>
  <property fmtid="{D5CDD505-2E9C-101B-9397-08002B2CF9AE}" pid="3" name="MediaServiceImageTags">
    <vt:lpwstr/>
  </property>
</Properties>
</file>